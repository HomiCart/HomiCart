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sheetId="1" r:id="rId5"/>
    <sheet state="visible" name="AlRoknAlMasry" sheetId="2" r:id="rId6"/>
    <sheet state="visible" name="Orders" sheetId="3" r:id="rId7"/>
    <sheet state="visible" name="AlFayoumi" sheetId="4" r:id="rId8"/>
    <sheet state="visible" name="Workspace" sheetId="5" r:id="rId9"/>
    <sheet state="visible" name="FWorkspace" sheetId="6" r:id="rId10"/>
    <sheet state="visible" name="Routes" sheetId="7" r:id="rId11"/>
    <sheet state="visible" name="RouteLinks" sheetId="8" r:id="rId12"/>
    <sheet state="visible" name="Copy of Orders" sheetId="9" r:id="rId13"/>
    <sheet state="visible" name="Copy of AlFayoumi" sheetId="10" r:id="rId14"/>
  </sheets>
  <definedNames>
    <definedName hidden="1" localSheetId="0" name="_xlnm._FilterDatabase">DataBase!$A$1:$Z$230</definedName>
    <definedName hidden="1" localSheetId="4" name="_xlnm._FilterDatabase">Workspace!$A$1:$O$819</definedName>
    <definedName hidden="1" localSheetId="5" name="_xlnm._FilterDatabase">FWorkspace!$A$1:$P$48</definedName>
    <definedName hidden="1" localSheetId="6" name="_xlnm._FilterDatabase">Routes!$A$1:$O$83</definedName>
  </definedNames>
  <calcPr/>
</workbook>
</file>

<file path=xl/sharedStrings.xml><?xml version="1.0" encoding="utf-8"?>
<sst xmlns="http://schemas.openxmlformats.org/spreadsheetml/2006/main" count="2891" uniqueCount="1498">
  <si>
    <t>Customer ID</t>
  </si>
  <si>
    <t>Name</t>
  </si>
  <si>
    <t>Phone</t>
  </si>
  <si>
    <t>WhatsApp</t>
  </si>
  <si>
    <t>Area</t>
  </si>
  <si>
    <t>Address</t>
  </si>
  <si>
    <t>Location</t>
  </si>
  <si>
    <t>CreatedAt</t>
  </si>
  <si>
    <t>UpdatedAt</t>
  </si>
  <si>
    <t>IsActive</t>
  </si>
  <si>
    <t>Notes</t>
  </si>
  <si>
    <t>Round</t>
  </si>
  <si>
    <t>Round Status</t>
  </si>
  <si>
    <t>Inactive</t>
  </si>
  <si>
    <t>Active</t>
  </si>
  <si>
    <t>C1768653088625</t>
  </si>
  <si>
    <t>Jasmine Behery</t>
  </si>
  <si>
    <t>0529157624</t>
  </si>
  <si>
    <t>Al danah</t>
  </si>
  <si>
    <t>شارع الكترا نفس بناية مطعم الابراهيمي شقة ٥٠٣</t>
  </si>
  <si>
    <t>https://www.google.com/maps?q=24.488376387234172,54.36703744083892</t>
  </si>
  <si>
    <t>C1768653219814</t>
  </si>
  <si>
    <t>Hana</t>
  </si>
  <si>
    <t>0523410536</t>
  </si>
  <si>
    <t>ابو ظبي جزيرة الريم</t>
  </si>
  <si>
    <t>ابوظبي جزيرة الريم sea side tower 1206</t>
  </si>
  <si>
    <t>https://www.google.com/maps?q=24.511217337965643,54.40646767616272</t>
  </si>
  <si>
    <t>C1768655293606</t>
  </si>
  <si>
    <t>Naglaa Eslam</t>
  </si>
  <si>
    <t>0555060297</t>
  </si>
  <si>
    <t>خليفه أ</t>
  </si>
  <si>
    <t>٩١ شارع الكهرمان خليفه خلف الفرسان مول</t>
  </si>
  <si>
    <t>https://www.google.com/maps?q=24.396056135766734,54.5660779698686</t>
  </si>
  <si>
    <t>C1768658567561</t>
  </si>
  <si>
    <t>ريهام احمد</t>
  </si>
  <si>
    <t>0525336427</t>
  </si>
  <si>
    <t>شارع الدفاع</t>
  </si>
  <si>
    <t>شارع الدفاع بجوار مستشفي برجيل بناية٤٤ شقة ٣٠٤</t>
  </si>
  <si>
    <t>https://www.google.com/maps?q=24.48040447704474,54.38423241719683</t>
  </si>
  <si>
    <t>C1768659646212</t>
  </si>
  <si>
    <t>فاطمة جودة</t>
  </si>
  <si>
    <t>0509795823</t>
  </si>
  <si>
    <t>بني ياس</t>
  </si>
  <si>
    <t>شارع الحضرة فيلا ٧</t>
  </si>
  <si>
    <t>https://www.google.com/maps?q=24.298819,54.6298218</t>
  </si>
  <si>
    <t>Verified</t>
  </si>
  <si>
    <t>C1768662454832</t>
  </si>
  <si>
    <t>نرفانا محمد عاطف</t>
  </si>
  <si>
    <t>0569389602</t>
  </si>
  <si>
    <t>0565627871</t>
  </si>
  <si>
    <t>شخبوط</t>
  </si>
  <si>
    <t>شخبوط شارع الجوهر فيلا رقم ٤٥٧ شقة رقم ٣</t>
  </si>
  <si>
    <t>https://www.google.com/maps?q=24.3810557,54.6477616</t>
  </si>
  <si>
    <t>C1768662888362</t>
  </si>
  <si>
    <t>Aya yasser abdullah</t>
  </si>
  <si>
    <t>0552947780</t>
  </si>
  <si>
    <t>44 Al lidama st / shakhbout</t>
  </si>
  <si>
    <t>https://www.google.com/maps?q=24.382185,54.6476835</t>
  </si>
  <si>
    <t>C1768662948033</t>
  </si>
  <si>
    <t>علي  الجالي</t>
  </si>
  <si>
    <t>0505837318</t>
  </si>
  <si>
    <t>الكورنيش</t>
  </si>
  <si>
    <t>ابوظبي منطقة الدانه الكورنيش خلف  Fabبنك  نفس بناية الرصاصي للعطور وبقالة الورقاء بناية رقم 22 الطابق16شقة 164</t>
  </si>
  <si>
    <t>https://www.google.com/maps?q=24.4904815,54.3553056</t>
  </si>
  <si>
    <t>C1768667938927</t>
  </si>
  <si>
    <t>عبد الرحمن السيد</t>
  </si>
  <si>
    <t>0503553750</t>
  </si>
  <si>
    <t>0542170740</t>
  </si>
  <si>
    <t>الدانه</t>
  </si>
  <si>
    <t>ش الكترا عماره اطلس للسياحه أمام فندق كوبثورن الدور التاسع شقه ٤٠٩</t>
  </si>
  <si>
    <t>https://www.google.com/maps?q=24.4886349,54.367739</t>
  </si>
  <si>
    <t>C1768674193071</t>
  </si>
  <si>
    <t>سمر وفيق محمد</t>
  </si>
  <si>
    <t>0585990297</t>
  </si>
  <si>
    <t>جزيره الريم</t>
  </si>
  <si>
    <t>جزيره الريم هورايزون تاور E2/1801</t>
  </si>
  <si>
    <t>https://www.google.com/maps?q=24.49400590864592,54.40334300908227</t>
  </si>
  <si>
    <t>C1768675057347</t>
  </si>
  <si>
    <t>Adam mohamed</t>
  </si>
  <si>
    <t>0565572507</t>
  </si>
  <si>
    <t>خليفه ا</t>
  </si>
  <si>
    <t>ابو ظبي خليفه ا</t>
  </si>
  <si>
    <t>https://www.google.com/maps?q=24.4059824,54.5766658</t>
  </si>
  <si>
    <t>C1768679601145</t>
  </si>
  <si>
    <t>Rania</t>
  </si>
  <si>
    <t>0554132107</t>
  </si>
  <si>
    <t>الخالديه</t>
  </si>
  <si>
    <t>شارع الكترا بناية العديل 1504</t>
  </si>
  <si>
    <t>https://www.google.com/maps?q=24.475874096409036,54.35152796896546</t>
  </si>
  <si>
    <t>C1768681153002</t>
  </si>
  <si>
    <t>مريم رشدى</t>
  </si>
  <si>
    <t>0503049782</t>
  </si>
  <si>
    <t>الروضه</t>
  </si>
  <si>
    <t>ش الغريفة بناية C83 استديو 217</t>
  </si>
  <si>
    <t>https://www.google.com/maps?q=24.420550506051583,54.46312538079711</t>
  </si>
  <si>
    <t>C1768686351531</t>
  </si>
  <si>
    <t>دعاء صالح</t>
  </si>
  <si>
    <t>0503844380</t>
  </si>
  <si>
    <t>شارع النجده</t>
  </si>
  <si>
    <t>شارع للنجده</t>
  </si>
  <si>
    <t>https://www.google.com/maps?q=24.4839715,54.3737652</t>
  </si>
  <si>
    <t>C1768688109796</t>
  </si>
  <si>
    <t>نورا هيكل</t>
  </si>
  <si>
    <t>0502057406</t>
  </si>
  <si>
    <t>الخالديه.خلف مصرف عجمان.شارع اهل المجد.بنايه ٢٧.نفس بنايه فلانتين فلاور للزهور .شقه ٢٠٤</t>
  </si>
  <si>
    <t>https://www.google.com/maps?q=24.4709703,54.348119</t>
  </si>
  <si>
    <t>C1768692183021</t>
  </si>
  <si>
    <t>معاذ</t>
  </si>
  <si>
    <t>0506449502</t>
  </si>
  <si>
    <t>بني ياس شرق 11</t>
  </si>
  <si>
    <t>فيلا 287 بجانب فيلا 16. شارع المديفي بني ياس شرق 11 ابوظبي</t>
  </si>
  <si>
    <t>https://www.google.com/maps?q=24.30272614252692,54.665250525619385</t>
  </si>
  <si>
    <t>C1768720835093</t>
  </si>
  <si>
    <t>Shimaa Rubishy</t>
  </si>
  <si>
    <t>0522248847</t>
  </si>
  <si>
    <t>Reem island</t>
  </si>
  <si>
    <t>Marina square, building 5,2804</t>
  </si>
  <si>
    <t>https://www.google.com/maps?q=24.491903455104953,54.3945336341858</t>
  </si>
  <si>
    <t>C1768724038057</t>
  </si>
  <si>
    <t>Amr Gamal</t>
  </si>
  <si>
    <t>0561628421</t>
  </si>
  <si>
    <t>Rabdan</t>
  </si>
  <si>
    <t>Abu Dhabi-Rabdan-25Ash shabaqi st</t>
  </si>
  <si>
    <t>https://www.google.com/maps?q=24.39945190748372,54.51725059485866</t>
  </si>
  <si>
    <t>C1768734061541</t>
  </si>
  <si>
    <t>Nourhan Tharwat</t>
  </si>
  <si>
    <t>0543380860</t>
  </si>
  <si>
    <t>الزاهيه</t>
  </si>
  <si>
    <t>شارع المينا بنايه النعيمي رقم 1 نفس بنايه صيدليه الافضل وبقاله أبو محمود الطابق العاشر شقه رقم 1003</t>
  </si>
  <si>
    <t>https://www.google.com/maps?q=24.501827903456647,54.37353646634361</t>
  </si>
  <si>
    <t>C1768735666922</t>
  </si>
  <si>
    <t>Shima</t>
  </si>
  <si>
    <t>0558106715</t>
  </si>
  <si>
    <t>43 شارع زايد الاول مبني سيتي ون موبيل شوب بجوار km شقه 201</t>
  </si>
  <si>
    <t>https://www.google.com/maps?q=24.474705582824225,54.35060262680053</t>
  </si>
  <si>
    <t>C1768736034463</t>
  </si>
  <si>
    <t>RIHAM FAYED</t>
  </si>
  <si>
    <t>0561429142</t>
  </si>
  <si>
    <t>الشامخه ايوظبي</t>
  </si>
  <si>
    <t>الشامخة ١٧ شارع الزناد ملحق فيلا ٢٠ شفه ١</t>
  </si>
  <si>
    <t>https://www.google.com/maps?q=24.3776618,54.7038044</t>
  </si>
  <si>
    <t>C1768741994250</t>
  </si>
  <si>
    <t>اسماء عيد</t>
  </si>
  <si>
    <t>0544990406</t>
  </si>
  <si>
    <t>بني ياس غرب 2</t>
  </si>
  <si>
    <t>Baniyas West 2, 502, Building 262</t>
  </si>
  <si>
    <t>https://www.google.com/maps?q=24.2942413364381,54.625878274418945</t>
  </si>
  <si>
    <t>C1768749793555</t>
  </si>
  <si>
    <t>هند المنشاوي</t>
  </si>
  <si>
    <t>0559730049</t>
  </si>
  <si>
    <t>بني ياس شرق ١</t>
  </si>
  <si>
    <t>فيلا 88  الغابات القديمة بني ياس شارع المويجعي</t>
  </si>
  <si>
    <t>https://www.google.com/maps?q=24.31961788714769,54.615672826003</t>
  </si>
  <si>
    <t>C1768753558875</t>
  </si>
  <si>
    <t>Asmaa Ismail</t>
  </si>
  <si>
    <t>0507454979</t>
  </si>
  <si>
    <t>الشامخه</t>
  </si>
  <si>
    <t>الشامخه نفس اللوكيشن البنايه الخضراء</t>
  </si>
  <si>
    <t>https://www.google.com/maps?q=24.3869237,54.7153942</t>
  </si>
  <si>
    <t>C1768753659322</t>
  </si>
  <si>
    <t>محمد احمد</t>
  </si>
  <si>
    <t>0528005162</t>
  </si>
  <si>
    <t>0559104514</t>
  </si>
  <si>
    <t>المناصير</t>
  </si>
  <si>
    <t xml:space="preserve"> المناصير شارع الفكر بناية ١٣</t>
  </si>
  <si>
    <t>https://www.google.com/maps?q=24.4604924,54.3607518</t>
  </si>
  <si>
    <t>C1768765714310</t>
  </si>
  <si>
    <t>ايه احمد</t>
  </si>
  <si>
    <t>0566426550</t>
  </si>
  <si>
    <t>33 شارع جبير بن متيم</t>
  </si>
  <si>
    <t>https://www.google.com/maps?q=24.374748317474157,54.629622589779984</t>
  </si>
  <si>
    <t>C1768765767772</t>
  </si>
  <si>
    <t>Maha Mashaly</t>
  </si>
  <si>
    <t>0561068589</t>
  </si>
  <si>
    <t>Bahia bahr</t>
  </si>
  <si>
    <t>Street 23 villa 17</t>
  </si>
  <si>
    <t>https://www.google.com/maps?q=24.546609196106413,54.63363647460938</t>
  </si>
  <si>
    <t>C1768766852245</t>
  </si>
  <si>
    <t>ابو عمر</t>
  </si>
  <si>
    <t>0523556088</t>
  </si>
  <si>
    <t>0562272719</t>
  </si>
  <si>
    <t>المشرف</t>
  </si>
  <si>
    <t>شقه G5فيلا 12 شارع ام عشيش المشرف</t>
  </si>
  <si>
    <t>https://www.google.com/maps?q=24.4341635,54.4048845</t>
  </si>
  <si>
    <t>C1768773438694</t>
  </si>
  <si>
    <t>Omnia Bahaa</t>
  </si>
  <si>
    <t>0589675748</t>
  </si>
  <si>
    <t>الشامخة</t>
  </si>
  <si>
    <t>ابو ظبي الشامخة 17 فيلا 7</t>
  </si>
  <si>
    <t>https://www.google.com/maps?q=24.382938211124948,54.70071601923413</t>
  </si>
  <si>
    <t>C1768776811780</t>
  </si>
  <si>
    <t>محمد النجار</t>
  </si>
  <si>
    <t>0502824408</t>
  </si>
  <si>
    <t>0502863115</t>
  </si>
  <si>
    <t>جزيرة الريم</t>
  </si>
  <si>
    <t>مارينا سكوير بناية رقم 1 اوشن تيراس الطابق 10 شقة 1003</t>
  </si>
  <si>
    <t>https://www.google.com/maps?q=24.492804130503803,54.39276158804205</t>
  </si>
  <si>
    <t>C1768796779227</t>
  </si>
  <si>
    <t>Kholoud Hawary</t>
  </si>
  <si>
    <t>0543714048</t>
  </si>
  <si>
    <t>Al reem island</t>
  </si>
  <si>
    <t>Abu Dhabi, al reem island, marina square ,building 6,aprt 3903</t>
  </si>
  <si>
    <t>https://www.google.com/maps?q=24.49165448678363,54.39491093158724</t>
  </si>
  <si>
    <t>C1768803911330</t>
  </si>
  <si>
    <t>Ahmed</t>
  </si>
  <si>
    <t>0552520902</t>
  </si>
  <si>
    <t>0569525431</t>
  </si>
  <si>
    <t>حوض 29 شارع النادي السياحي</t>
  </si>
  <si>
    <t>https://www.google.com/maps?q=24.3849525,54.6564186</t>
  </si>
  <si>
    <t>C1768805525254</t>
  </si>
  <si>
    <t>خالد محمد</t>
  </si>
  <si>
    <t>0544646563</t>
  </si>
  <si>
    <t>الريم ٥٠١</t>
  </si>
  <si>
    <t>https://www.google.com/maps?q=25.3909971,55.4807858</t>
  </si>
  <si>
    <t>C1768808806268</t>
  </si>
  <si>
    <t>مصطفي</t>
  </si>
  <si>
    <t>0524107369</t>
  </si>
  <si>
    <t>عجمان</t>
  </si>
  <si>
    <t>https://www.google.com/maps?q=25.3955488,55.4840595</t>
  </si>
  <si>
    <t>C1768812851769</t>
  </si>
  <si>
    <t>ام تيم</t>
  </si>
  <si>
    <t>0528372444</t>
  </si>
  <si>
    <t>فيلا 89 حدبه الزعفرانه ابوظبى</t>
  </si>
  <si>
    <t>https://www.google.com/maps?q=24.43867719229777,54.40360033280079</t>
  </si>
  <si>
    <t>C1768820680055</t>
  </si>
  <si>
    <t>محمد عبدالله</t>
  </si>
  <si>
    <t>0545450707</t>
  </si>
  <si>
    <t>بنى ياس</t>
  </si>
  <si>
    <t>بنى ياس شرق ١١ فيلا 87</t>
  </si>
  <si>
    <t>https://www.google.com/maps?q=24.300528295751207,54.66048083455748</t>
  </si>
  <si>
    <t>C1768903200343</t>
  </si>
  <si>
    <t>menna Selim</t>
  </si>
  <si>
    <t>0527301221</t>
  </si>
  <si>
    <t>المركزية</t>
  </si>
  <si>
    <t>Hanging garden tower 804</t>
  </si>
  <si>
    <t>https://www.google.com/maps?q=24.485919372562307,54.35988436512351</t>
  </si>
  <si>
    <t>C1768906998557</t>
  </si>
  <si>
    <t>مروه ابراهيم</t>
  </si>
  <si>
    <t>0582488138</t>
  </si>
  <si>
    <t>شارع النجده بجوار سيتى بنك الرميثى تاور</t>
  </si>
  <si>
    <t>https://www.google.com/maps?q=24.4836803,54.3751722</t>
  </si>
  <si>
    <t>C1768908769042</t>
  </si>
  <si>
    <t>د. إيمان الجندي</t>
  </si>
  <si>
    <t>0501003743</t>
  </si>
  <si>
    <t>٩٠ شارع الرايفه / برج سيجما ١ / الطابق ١١/ شقه ١١٠٣</t>
  </si>
  <si>
    <t>https://www.google.com/maps?q=24.499089151891017,54.40421819686892</t>
  </si>
  <si>
    <t>C1768921918481</t>
  </si>
  <si>
    <t>Nashwa</t>
  </si>
  <si>
    <t>0502263324</t>
  </si>
  <si>
    <t>9J43+9QQ - As Sawsan St - Zayed City - MZ2 - Abu Dhabi</t>
  </si>
  <si>
    <t>https://www.google.com/maps?q=24.3551987,54.6028354</t>
  </si>
  <si>
    <t>C1768922901777</t>
  </si>
  <si>
    <t>ام عبدالرحمن</t>
  </si>
  <si>
    <t>0508565953</t>
  </si>
  <si>
    <t>شارع خليفه</t>
  </si>
  <si>
    <t>برج محمد بن راشد شقه 5605</t>
  </si>
  <si>
    <t>https://www.google.com/maps?q=24.48798367238742,54.35744035989047</t>
  </si>
  <si>
    <t>C1768924115209</t>
  </si>
  <si>
    <t>Yasmein Abdouh</t>
  </si>
  <si>
    <t>0552156042</t>
  </si>
  <si>
    <t>الرياض</t>
  </si>
  <si>
    <t>شارع مهيا فيلا 24-جنوب الشامخة _ الرياض</t>
  </si>
  <si>
    <t>https://www.google.com/maps?q=24.362883090547797,54.7518702420522</t>
  </si>
  <si>
    <t>C1769158202739</t>
  </si>
  <si>
    <t>منه الله ممدوح</t>
  </si>
  <si>
    <t>0501223600</t>
  </si>
  <si>
    <t>المنهل</t>
  </si>
  <si>
    <t>الزعاب شارع السدود فيلا ٢٨ الدور الاول شقه ٥</t>
  </si>
  <si>
    <t>https://www.google.com/maps?q=24.466475281282403,54.362341285432215</t>
  </si>
  <si>
    <t>C1769158708241</t>
  </si>
  <si>
    <t>ام عمران</t>
  </si>
  <si>
    <t>0543215650</t>
  </si>
  <si>
    <t>302 Burouj tower</t>
  </si>
  <si>
    <t>https://www.google.com/maps?q=24.468888466362223,54.33952023053673</t>
  </si>
  <si>
    <t>C1769174293912</t>
  </si>
  <si>
    <t>Bossy Ashraf</t>
  </si>
  <si>
    <t>0568415090</t>
  </si>
  <si>
    <t>النهيان</t>
  </si>
  <si>
    <t>Al nida street 135 Abu dhabi</t>
  </si>
  <si>
    <t>https://www.google.com/maps?q=24.464149833196682,54.37775618131224</t>
  </si>
  <si>
    <t>C1769179891360</t>
  </si>
  <si>
    <t>Samar youssef</t>
  </si>
  <si>
    <t>0581999893</t>
  </si>
  <si>
    <t>الدانا</t>
  </si>
  <si>
    <t>نفس بناية حبيب بنك -الدور ١٢ شقة ١٢٠٤</t>
  </si>
  <si>
    <t>https://www.google.com/maps?q=24.478422657435384,54.3700110912323</t>
  </si>
  <si>
    <t>C1769191470592</t>
  </si>
  <si>
    <t>محمود عبدالوهاب</t>
  </si>
  <si>
    <t>0562699503</t>
  </si>
  <si>
    <t>شارع المطار</t>
  </si>
  <si>
    <t>شارع المطار بجوار مخابز الكورنيش</t>
  </si>
  <si>
    <t>https://www.google.com/maps?q=24.4735972,54.3669136</t>
  </si>
  <si>
    <t>C1769206606128</t>
  </si>
  <si>
    <t>Heba Shawky</t>
  </si>
  <si>
    <t>0545672245</t>
  </si>
  <si>
    <t>87 شارع الظفر الدور الأول شقة 1</t>
  </si>
  <si>
    <t>https://www.google.com/maps?q=24.363065844843092,54.645652622628894</t>
  </si>
  <si>
    <t>C1769235720396</t>
  </si>
  <si>
    <t>حنان محمد</t>
  </si>
  <si>
    <t>0505000322</t>
  </si>
  <si>
    <t>ال نهيان</t>
  </si>
  <si>
    <t>شارع المطار بناية هزاع كافيه شقة 302</t>
  </si>
  <si>
    <t>https://www.google.com/maps?q=24.457829508518884,54.383169525786094</t>
  </si>
  <si>
    <t>C1769249192483</t>
  </si>
  <si>
    <t>عمر هلال أحمد</t>
  </si>
  <si>
    <t>0566004720</t>
  </si>
  <si>
    <t>مدينه شخبوط</t>
  </si>
  <si>
    <t>إمارة ابوظبي-مدينه شخبوط-شارع الموهبه- فيلا 36. فيلا 2 بوابة سوداء صغيرة ..الدور الثاني شقه 6</t>
  </si>
  <si>
    <t>https://www.google.com/maps?q=24.3433076,54.6279835</t>
  </si>
  <si>
    <t>C1769266927470</t>
  </si>
  <si>
    <t>Asmaa Al Wakeel</t>
  </si>
  <si>
    <t>0508619157</t>
  </si>
  <si>
    <t>منطقة تنكر مياه</t>
  </si>
  <si>
    <t>شارع غاله نفس بناية نسائم النيلين، بناية رقم 6 الطابق الاول شقه 102-منطقة تنكر مياه شارع غاله</t>
  </si>
  <si>
    <t>https://www.google.com/maps?q=24.4626107,54.3821621</t>
  </si>
  <si>
    <t>C1769267096026</t>
  </si>
  <si>
    <t>مريم ابراهيم</t>
  </si>
  <si>
    <t>0547247132</t>
  </si>
  <si>
    <t>خليفة أ</t>
  </si>
  <si>
    <t>مدينة خليفه أ</t>
  </si>
  <si>
    <t>https://www.google.com/maps?q=24.42142591856825,54.55790798874446</t>
  </si>
  <si>
    <t>C1769269943905</t>
  </si>
  <si>
    <t>ابانوب رضا</t>
  </si>
  <si>
    <t>0528624969</t>
  </si>
  <si>
    <t>القبيسات</t>
  </si>
  <si>
    <t>شارع ظبيان واحه النخيل القبيسات ابو ظبي</t>
  </si>
  <si>
    <t>https://www.google.com/maps?q=24.427646476443147,54.415186350049645</t>
  </si>
  <si>
    <t>C1769279012511</t>
  </si>
  <si>
    <t>مليكه محمد</t>
  </si>
  <si>
    <t>0524090583</t>
  </si>
  <si>
    <t>شخبوط . أمام حديقه الرحايب فيلا 14 شقه 1</t>
  </si>
  <si>
    <t>https://www.google.com/maps?q=24.380387973967807,54.64621270468212</t>
  </si>
  <si>
    <t>C1769279406773</t>
  </si>
  <si>
    <t>Randa</t>
  </si>
  <si>
    <t>0543505769</t>
  </si>
  <si>
    <t>فيلا 4 المدخل الخلفي شقه 4</t>
  </si>
  <si>
    <t>https://www.google.com/maps?q=24.395423819004588,54.71244518273372</t>
  </si>
  <si>
    <t>C1769324778781</t>
  </si>
  <si>
    <t>Eman Elkoumy</t>
  </si>
  <si>
    <t>0529391713</t>
  </si>
  <si>
    <t>منطقة الريم</t>
  </si>
  <si>
    <t>النور تاور ١٦٠٦</t>
  </si>
  <si>
    <t>https://www.google.com/maps?q=24.4907523,54.4000173</t>
  </si>
  <si>
    <t>C1769335741583</t>
  </si>
  <si>
    <t>شريهان فتحي</t>
  </si>
  <si>
    <t>0561252803</t>
  </si>
  <si>
    <t>شاطئ الراحة</t>
  </si>
  <si>
    <t>Abu dhbi Al Raha  beach Channel street Amwaj 2 building 101A</t>
  </si>
  <si>
    <t>https://www.google.com/maps?q=24.449786631924397,54.6136486530304</t>
  </si>
  <si>
    <t>C1769356027683</t>
  </si>
  <si>
    <t>اسماء محمد احمد</t>
  </si>
  <si>
    <t>0554355215</t>
  </si>
  <si>
    <t>شارع النهار  Villa 31floor 1 flat 1 the first flat on the left</t>
  </si>
  <si>
    <t>https://www.google.com/maps?q=24.4412188,54.3964172</t>
  </si>
  <si>
    <t>C1769418398389</t>
  </si>
  <si>
    <t>ام عمر</t>
  </si>
  <si>
    <t>0506692477</t>
  </si>
  <si>
    <t>الكررنيش</t>
  </si>
  <si>
    <t>بنايه الكندى 1102 رقم البنايه 28</t>
  </si>
  <si>
    <t>https://www.google.com/maps?q=24.490637828966232,54.355632402828284</t>
  </si>
  <si>
    <t>C1770054610191</t>
  </si>
  <si>
    <t>Ashraf Mohamed Nabil</t>
  </si>
  <si>
    <t>0563063515</t>
  </si>
  <si>
    <t>Tttttttt</t>
  </si>
  <si>
    <t>Zayed The First Street, Electra St, Same Building Of Al Ebrahimie Resturant Flat 503</t>
  </si>
  <si>
    <t>https://www.google.com/maps?q=24.4883489,54.3671376</t>
  </si>
  <si>
    <t>C1770293546609</t>
  </si>
  <si>
    <t>لميس صلاح</t>
  </si>
  <si>
    <t>0566362436</t>
  </si>
  <si>
    <t>الخالدية</t>
  </si>
  <si>
    <t>شارع الخليج العربي مع شارع زايد الأول.  خلف سبار.  الخبيرة تاور. مبني B شقة 902</t>
  </si>
  <si>
    <t>https://www.google.com/maps?q=24.470750299111618,54.341435270625304</t>
  </si>
  <si>
    <t>C1770301886398</t>
  </si>
  <si>
    <t>منال</t>
  </si>
  <si>
    <t>0568906661</t>
  </si>
  <si>
    <t>مدينة خليفة</t>
  </si>
  <si>
    <t>مدينه خليفه شارع الحدره فيلا ١٦</t>
  </si>
  <si>
    <t>https://www.google.com/maps?q=24.408725875576238,54.56453676650623</t>
  </si>
  <si>
    <t>C1770302444297</t>
  </si>
  <si>
    <t>Lamis Mahmoud</t>
  </si>
  <si>
    <t>0561442498</t>
  </si>
  <si>
    <t>الزاهية</t>
  </si>
  <si>
    <t>ابو ظبى - النادى السياحى - الزاهية - شارع الميناء - خلف بناية سيدار سابقاً - عواض حالياً ) نفس بناية شركة يورو يكانيكال - الطابق الثانى - شقة رقم 202</t>
  </si>
  <si>
    <t>https://www.google.com/maps?q=24.5027156,54.3773946</t>
  </si>
  <si>
    <t>C1770303204764</t>
  </si>
  <si>
    <t>شروق شعبان</t>
  </si>
  <si>
    <t>0563367219</t>
  </si>
  <si>
    <t>ابوظبي المعزز الشامخة جنوب</t>
  </si>
  <si>
    <t>بجوار سوبر ماركت القمة</t>
  </si>
  <si>
    <t>https://www.google.com/maps?q=24.385049893635465,54.74274156267586</t>
  </si>
  <si>
    <t>C1770303466322</t>
  </si>
  <si>
    <t>عبدالرحمن السعودي</t>
  </si>
  <si>
    <t>0552061749</t>
  </si>
  <si>
    <t>الشهامة الجديدة</t>
  </si>
  <si>
    <t>الشهامة الجديده شارع الاخيل</t>
  </si>
  <si>
    <t>https://www.google.com/maps?q=24.536654546349943,54.68608564956241</t>
  </si>
  <si>
    <t>C1770303653045</t>
  </si>
  <si>
    <t>Hadeer abdelaaty</t>
  </si>
  <si>
    <t>0508286274</t>
  </si>
  <si>
    <t>ابوظبي شارع المطار بناية وينج ستوب</t>
  </si>
  <si>
    <t>https://www.google.com/maps?q=24.45891040212807,54.38068012411437</t>
  </si>
  <si>
    <t>C1770303917569</t>
  </si>
  <si>
    <t>Ahmed Gamal</t>
  </si>
  <si>
    <t>0589634511</t>
  </si>
  <si>
    <t>المشرف شارع الورد فيلا ٨٨ غرفة ٨</t>
  </si>
  <si>
    <t>https://www.google.com/maps?q=24.4344584,54.401376</t>
  </si>
  <si>
    <t>C1770303918569</t>
  </si>
  <si>
    <t>عمر سليمان</t>
  </si>
  <si>
    <t>0505801401</t>
  </si>
  <si>
    <t>ابو ظبي الكورنيش خلف برج بينونة بناية 26 شقة 1501</t>
  </si>
  <si>
    <t>https://www.google.com/maps?q=24.481979370117188,54.350242614746094</t>
  </si>
  <si>
    <t>C1770304580861</t>
  </si>
  <si>
    <t>ايمان يوسف</t>
  </si>
  <si>
    <t>0547612588</t>
  </si>
  <si>
    <t>الشوامخ</t>
  </si>
  <si>
    <t>شوامخ 5قريب اللولو</t>
  </si>
  <si>
    <t>https://www.google.com/maps?q=24.346395900789,54.64706009484143</t>
  </si>
  <si>
    <t>C1770305665632</t>
  </si>
  <si>
    <t>نور الهدي عزت</t>
  </si>
  <si>
    <t>0507302615</t>
  </si>
  <si>
    <t>عمارات الاتحاد بلازا شارع المريف عمارة رقم C64 شقة 602</t>
  </si>
  <si>
    <t>https://www.google.com/maps?q=24.44385204922594,54.61288605394732</t>
  </si>
  <si>
    <t>C1770305665633</t>
  </si>
  <si>
    <t>تقي خالد ابراهيم</t>
  </si>
  <si>
    <t>0545592383</t>
  </si>
  <si>
    <t>مصفح</t>
  </si>
  <si>
    <t>ابوظبي/شعبيه١٢/ مبني ٢٧٧ / شقه ٦٠٤</t>
  </si>
  <si>
    <t>https://www.google.com/maps?q=24.318532943725586,54.537132263183594</t>
  </si>
  <si>
    <t>C1770306711005</t>
  </si>
  <si>
    <t xml:space="preserve">عبدالرحمن السعودى </t>
  </si>
  <si>
    <t xml:space="preserve">الشهامه الجديده </t>
  </si>
  <si>
    <t>2شارع الاخيل -ملحق فيلا 233 -الطابق الاخير -شقة 105</t>
  </si>
  <si>
    <t>https://www.google.com/maps?q=24.536588668823242,54.68614196777344</t>
  </si>
  <si>
    <t>C1770307868364</t>
  </si>
  <si>
    <t>كريم علي</t>
  </si>
  <si>
    <t>0505133865</t>
  </si>
  <si>
    <t>مانجروف بالاس شقه ٨٢١</t>
  </si>
  <si>
    <t>https://www.google.com/maps?q=24.496540069580078,54.408409118652344</t>
  </si>
  <si>
    <t>C1770308402737</t>
  </si>
  <si>
    <t>Eman Raafat</t>
  </si>
  <si>
    <t>0554674936</t>
  </si>
  <si>
    <t>Al Dhana</t>
  </si>
  <si>
    <t>flat 701. Burj Al souq building, behind WTC mall corniche side. Same building of Global dry clean</t>
  </si>
  <si>
    <t>https://www.google.com/maps?q=24.489546362342328,54.35587070993883</t>
  </si>
  <si>
    <t>C1770309813167</t>
  </si>
  <si>
    <t>محمد الدالي</t>
  </si>
  <si>
    <t>0568007221</t>
  </si>
  <si>
    <t>ابو ظبي الخالديه شارع الفلاح فيلا ٦ غرفه ١٠</t>
  </si>
  <si>
    <t>https://www.google.com/maps?q=24.463097361118965,54.350282867429875</t>
  </si>
  <si>
    <t>C1770310815685</t>
  </si>
  <si>
    <t>ندى هشام</t>
  </si>
  <si>
    <t>0582002273</t>
  </si>
  <si>
    <t>محمد بن زايد</t>
  </si>
  <si>
    <t>العنوان ابوظبي محمد بن زايد حوض ٢٧ فيلا ٤٧</t>
  </si>
  <si>
    <t>https://www.google.com/maps?q=24.310261,54.539455</t>
  </si>
  <si>
    <t>C1770315803072</t>
  </si>
  <si>
    <t>سعاد شبل</t>
  </si>
  <si>
    <t>0547669820</t>
  </si>
  <si>
    <t>مدينه مصدر</t>
  </si>
  <si>
    <t>تاون هاوس 35، ذا جيت، مصدر ، ابو ظبي</t>
  </si>
  <si>
    <t>https://www.google.com/maps?q=24.4366151,54.6181868</t>
  </si>
  <si>
    <t>C1770317077469</t>
  </si>
  <si>
    <t>رباب عبد الرحمن</t>
  </si>
  <si>
    <t>0505805381</t>
  </si>
  <si>
    <t>ال نهيان تنكر المياة / شارع الغلا بناية رقم ٦ بناية مطعم نسائم النيلين/ شقة ٣٠٤</t>
  </si>
  <si>
    <t>https://www.google.com/maps?q=24.462725234516206,54.382288793354874</t>
  </si>
  <si>
    <t>C1770317280844</t>
  </si>
  <si>
    <t>شروق خليل</t>
  </si>
  <si>
    <t>0507113904</t>
  </si>
  <si>
    <t>كورنيش ابوظبي</t>
  </si>
  <si>
    <t>كورنيش تقاطع الخليج العربي بناية زادكو بلوكD شقه 904</t>
  </si>
  <si>
    <t>https://www.google.com/maps?q=24.47131165461526,54.34203693592048</t>
  </si>
  <si>
    <t>C1770317721268</t>
  </si>
  <si>
    <t>زياد أحمد</t>
  </si>
  <si>
    <t>0509093329</t>
  </si>
  <si>
    <t>الباهية</t>
  </si>
  <si>
    <t>أبوظبى الباهية خلف حديقة الحيوانات</t>
  </si>
  <si>
    <t>https://www.google.com/maps?q=24.5490176,54.6742887</t>
  </si>
  <si>
    <t>C1770320680582</t>
  </si>
  <si>
    <t>Sara elbehery</t>
  </si>
  <si>
    <t>0505817019</t>
  </si>
  <si>
    <t>منقطة المشرف مول شارع الرمله فيلا 62 شقة 2</t>
  </si>
  <si>
    <t>https://www.google.com/maps?q=24.429510607168442,54.417650946405594</t>
  </si>
  <si>
    <t>C1770323396310</t>
  </si>
  <si>
    <t>مروه حجازي</t>
  </si>
  <si>
    <t>0567785749</t>
  </si>
  <si>
    <t>بتي ياس شرق ١٣ شارع النجده فيلا رقم ٤٢</t>
  </si>
  <si>
    <t>https://www.google.com/maps?q=24.284021377563477,54.66059875488281</t>
  </si>
  <si>
    <t>C1770375577552</t>
  </si>
  <si>
    <t>على سند</t>
  </si>
  <si>
    <t>0501585452</t>
  </si>
  <si>
    <t>ابوظبى الخالديه</t>
  </si>
  <si>
    <t>١٥٠٢ الخالديه بالاس d كورنيش ابوظبى امام قصر الامارات</t>
  </si>
  <si>
    <t>https://www.google.com/maps?q=24.457252856682956,54.31850373543207</t>
  </si>
  <si>
    <t>C1770376790054</t>
  </si>
  <si>
    <t>جرجس سعد</t>
  </si>
  <si>
    <t>0501597343</t>
  </si>
  <si>
    <t>ربدان</t>
  </si>
  <si>
    <t>شارع دكتور محمد سعيد البادي فيلا ١٤٤ الدور الاول شقه ١١</t>
  </si>
  <si>
    <t>https://www.google.com/maps?q=24.402793436039975,54.511582141040186</t>
  </si>
  <si>
    <t>C1770380188021</t>
  </si>
  <si>
    <t>Rofyda</t>
  </si>
  <si>
    <t>0551250380</t>
  </si>
  <si>
    <t>الشامخه جنوب مدينه الرياض شارع الخنساء فيلا ١٥ شقه ١٢٠</t>
  </si>
  <si>
    <t>https://www.google.com/maps?q=24.366879007601142,54.75577354431153</t>
  </si>
  <si>
    <t>C1770380233252</t>
  </si>
  <si>
    <t>علياء علي تمام</t>
  </si>
  <si>
    <t>0566424055</t>
  </si>
  <si>
    <t>شارع النجدة</t>
  </si>
  <si>
    <t>بناية مطعم هوم كورت قريب من وكالة الميتسوبيشي</t>
  </si>
  <si>
    <t>https://www.google.com/maps?q=24.4850267,54.3751204</t>
  </si>
  <si>
    <t>C1770382861821</t>
  </si>
  <si>
    <t>طارق</t>
  </si>
  <si>
    <t>0545857573</t>
  </si>
  <si>
    <t>المنتزه</t>
  </si>
  <si>
    <t>بجوار مطار البطين فيلا ٣٤</t>
  </si>
  <si>
    <t>https://www.google.com/maps?q=24.438106862348622,54.44236633645711</t>
  </si>
  <si>
    <t>C1770384057410</t>
  </si>
  <si>
    <t>فاطمه ماهر</t>
  </si>
  <si>
    <t>0544563934</t>
  </si>
  <si>
    <t>شارع الفلاح ابوظبي</t>
  </si>
  <si>
    <t>C38 شارع الحسام ابوظبي</t>
  </si>
  <si>
    <t>https://www.google.com/maps?q=24.477846152348565,54.367074796293785</t>
  </si>
  <si>
    <t>C1770385204552</t>
  </si>
  <si>
    <t>Arwa Mohamed</t>
  </si>
  <si>
    <t>0543038934</t>
  </si>
  <si>
    <t>MBZ</t>
  </si>
  <si>
    <t>-Al aluminum st villa 17 first floor flat 14zone 25</t>
  </si>
  <si>
    <t>https://www.google.com/maps?q=24.31043815612793,54.56330108642578</t>
  </si>
  <si>
    <t>C1770385273612</t>
  </si>
  <si>
    <t>عادل</t>
  </si>
  <si>
    <t>0523345200</t>
  </si>
  <si>
    <t>0508358246</t>
  </si>
  <si>
    <t>شارع المزهرية فيلا 513</t>
  </si>
  <si>
    <t>https://www.google.com/maps?q=24.369816,54.690849</t>
  </si>
  <si>
    <t>C1770385365460</t>
  </si>
  <si>
    <t>Test</t>
  </si>
  <si>
    <t>0522222222</t>
  </si>
  <si>
    <t>https://www.google.com/maps?q=24.488353232023794,54.36703602677353</t>
  </si>
  <si>
    <t>C1770388631612</t>
  </si>
  <si>
    <t>حازم احمد ماهر</t>
  </si>
  <si>
    <t>0563303384</t>
  </si>
  <si>
    <t>بني ياس غرب</t>
  </si>
  <si>
    <t>بني ياس غرب 2 بجوار سوبر ماركت التفاح الاخضر بناية 235 شقة 103</t>
  </si>
  <si>
    <t>https://www.google.com/maps?q=24.2983624,54.6221276</t>
  </si>
  <si>
    <t>C1770389897090</t>
  </si>
  <si>
    <t>Doaa Hammad</t>
  </si>
  <si>
    <t>0556072958</t>
  </si>
  <si>
    <t>0505960283</t>
  </si>
  <si>
    <t>Al reem isand</t>
  </si>
  <si>
    <t>Horizon E2 tower flat 801</t>
  </si>
  <si>
    <t>https://www.google.com/maps?q=24.49409576787982,54.40330879437383</t>
  </si>
  <si>
    <t>C1770398885051</t>
  </si>
  <si>
    <t>Youssef Shehata</t>
  </si>
  <si>
    <t>0503437168</t>
  </si>
  <si>
    <t>شارع دهن العود</t>
  </si>
  <si>
    <t>https://www.google.com/maps?q=24.383498298952055,54.733667643311875</t>
  </si>
  <si>
    <t>C1770400466145</t>
  </si>
  <si>
    <t>دينا عصمت</t>
  </si>
  <si>
    <t>0504733409</t>
  </si>
  <si>
    <t>محمد بن زايد شارع محمد بن عبيد المهري  فيلا رقم 360</t>
  </si>
  <si>
    <t>https://www.google.com/maps?q=24.323850631713867,54.54386520385742</t>
  </si>
  <si>
    <t>C1770401917414</t>
  </si>
  <si>
    <t>آيات سمير عبد العزيز</t>
  </si>
  <si>
    <t>0522314152</t>
  </si>
  <si>
    <t>النادي السياحي</t>
  </si>
  <si>
    <t>النادي السياحي الزاهية خلف بناية سيدار سابقاً بناية عمر شقة 1506</t>
  </si>
  <si>
    <t>https://www.google.com/maps?q=24.5026717,54.3778221</t>
  </si>
  <si>
    <t>C1770404787698</t>
  </si>
  <si>
    <t>Esraa Abdelaziz</t>
  </si>
  <si>
    <t>0567060227</t>
  </si>
  <si>
    <t>ابوظبى مدينة خليفة أ خلف الفرسان مول فيلا رقم ٩٣ الدور الاول  شقة رقم ٥</t>
  </si>
  <si>
    <t>https://www.google.com/maps?q=24.407829325295552,54.5653016169153</t>
  </si>
  <si>
    <t>C1770406340910</t>
  </si>
  <si>
    <t>Hanan Gamal</t>
  </si>
  <si>
    <t>0557162671</t>
  </si>
  <si>
    <t>Al Nahyan</t>
  </si>
  <si>
    <t>Al Jimi Street, Dusit Thani Complex Block A 1607</t>
  </si>
  <si>
    <t>https://www.google.com/maps?q=24.455645139757596,54.39597541868014</t>
  </si>
  <si>
    <t>C1770407598915</t>
  </si>
  <si>
    <t>نرمين غانم</t>
  </si>
  <si>
    <t>0568449112</t>
  </si>
  <si>
    <t>شارع القناعة فيلا رقم 10 بوابة صغيرة الدور الاول الباب المقابل للسلم</t>
  </si>
  <si>
    <t>https://www.google.com/maps?q=24.3941969,54.7138706</t>
  </si>
  <si>
    <t>C1770407988101</t>
  </si>
  <si>
    <t>دعاء زهران</t>
  </si>
  <si>
    <t>0565617921</t>
  </si>
  <si>
    <t>ابوظبي شارع المطار بناية بيبي شوب الطابق الرابع ٤٠١</t>
  </si>
  <si>
    <t>https://www.google.com/maps?q=24.479677811702995,54.36228080171098</t>
  </si>
  <si>
    <t>C1770409570825</t>
  </si>
  <si>
    <t>ياسين</t>
  </si>
  <si>
    <t>0562221503</t>
  </si>
  <si>
    <t>الوحدة مول</t>
  </si>
  <si>
    <t>الوحدة رزدنشيال تاور بجوار فندق ميلينيوم الوحدة  شقة 1205</t>
  </si>
  <si>
    <t>https://www.google.com/maps?q=24.471886074971458,54.374371046160974</t>
  </si>
  <si>
    <t>C1770409836502</t>
  </si>
  <si>
    <t>احمد رشاد</t>
  </si>
  <si>
    <t>0527124362</t>
  </si>
  <si>
    <t>ابو ظبي مصفح شعبية 12 بناية 207  شقة 103</t>
  </si>
  <si>
    <t>https://www.google.com/maps?q=24.318943444833746,54.537442028970794</t>
  </si>
  <si>
    <t>C1770412918700</t>
  </si>
  <si>
    <t>Heba Motawea</t>
  </si>
  <si>
    <t>0564507569</t>
  </si>
  <si>
    <t>شخبوط أبوظبي</t>
  </si>
  <si>
    <t>https://www.google.com/maps?q=24.3795837,54.6433836</t>
  </si>
  <si>
    <t>C1770414009947</t>
  </si>
  <si>
    <t>karim</t>
  </si>
  <si>
    <t>0566708655</t>
  </si>
  <si>
    <t>مارينا دماك شقه ٩٠٨ جزيره الريم</t>
  </si>
  <si>
    <t>https://www.google.com/maps?q=24.484963646003283,54.4041744597899</t>
  </si>
  <si>
    <t>C1770447928263</t>
  </si>
  <si>
    <t>مروه حسين</t>
  </si>
  <si>
    <t>0567924333</t>
  </si>
  <si>
    <t>الزاهيه خلف فندق نهال بجوار سوبر ماركت الامارات السبع-بنايه تاس ترافل رقم 2 شقه 603</t>
  </si>
  <si>
    <t>https://www.google.com/maps?q=24.49895477294922,54.37327194213867</t>
  </si>
  <si>
    <t>C1770456223237</t>
  </si>
  <si>
    <t>ريهام محمود</t>
  </si>
  <si>
    <t>0508435088</t>
  </si>
  <si>
    <t>مدينة الرياض.</t>
  </si>
  <si>
    <t>مدينة الرياض. فيلا ١٠ _ الدور الاول</t>
  </si>
  <si>
    <t>https://www.google.com/maps?q=24.3648776,54.7466072</t>
  </si>
  <si>
    <t>C1770471059339</t>
  </si>
  <si>
    <t>نورهان</t>
  </si>
  <si>
    <t>0507226802</t>
  </si>
  <si>
    <t>فيلا 4 امام مطعم سراج الشامخه ابوظبي</t>
  </si>
  <si>
    <t>https://www.google.com/maps?q=24.3823036,54.7026194</t>
  </si>
  <si>
    <t>C1770478341489</t>
  </si>
  <si>
    <t>رويدا تميم</t>
  </si>
  <si>
    <t>0501221989</t>
  </si>
  <si>
    <t>Bateen st. Khalidiya palace, block c, flat 508</t>
  </si>
  <si>
    <t>https://www.google.com/maps?q=24.456756591796875,54.31947326660156</t>
  </si>
  <si>
    <t>C1770481174599</t>
  </si>
  <si>
    <t>Yusef Mohamed</t>
  </si>
  <si>
    <t>0502571387</t>
  </si>
  <si>
    <t>شارع النجدة برج ناهل نفس بناية اكسترا كير ميديكال سنتر</t>
  </si>
  <si>
    <t>https://www.google.com/maps?q=24.487424794735873,54.373275842214106</t>
  </si>
  <si>
    <t>C1770481643188</t>
  </si>
  <si>
    <t>علا عطية</t>
  </si>
  <si>
    <t>0505349904</t>
  </si>
  <si>
    <t>جزيرة الريم برج الريم باي تاور B شقة 1709</t>
  </si>
  <si>
    <t>https://www.google.com/maps?q=24.4842079,54.405234</t>
  </si>
  <si>
    <t>C1770489794858</t>
  </si>
  <si>
    <t>Aya sayed</t>
  </si>
  <si>
    <t>0545757719</t>
  </si>
  <si>
    <t>الكرامة</t>
  </si>
  <si>
    <t>شارع الوروود فيلا 10 الدور الاول شقة c5</t>
  </si>
  <si>
    <t>https://www.google.com/maps?q=24.459077835083008,54.3751335144043</t>
  </si>
  <si>
    <t>C1770496036461</t>
  </si>
  <si>
    <t>رانيا فوزى</t>
  </si>
  <si>
    <t>0556375159</t>
  </si>
  <si>
    <t>مدينه الرياض</t>
  </si>
  <si>
    <t>مدينه الرياض شارع العهود نفس بنايه مغسله احمد سجاد الدور التاني 204</t>
  </si>
  <si>
    <t>https://www.google.com/maps?q=24.342117101845112,54.75897213685155</t>
  </si>
  <si>
    <t>C1770496683366</t>
  </si>
  <si>
    <t>ام بلال</t>
  </si>
  <si>
    <t>0501485569</t>
  </si>
  <si>
    <t>معسكر  ال نهيان</t>
  </si>
  <si>
    <t>بنايه رقم 37_شارع عراده_معسكر ال نهيان_متفرع من المرور</t>
  </si>
  <si>
    <t>https://www.google.com/maps?q=24.476443858660044,54.38030192382037</t>
  </si>
  <si>
    <t>C1770500342917</t>
  </si>
  <si>
    <t>Alaa Elsharkawi</t>
  </si>
  <si>
    <t>0508752849</t>
  </si>
  <si>
    <t>البطين</t>
  </si>
  <si>
    <t>شارع الخليج العربي</t>
  </si>
  <si>
    <t>https://www.google.com/maps?q=24.453582811836768,54.359411377293355</t>
  </si>
  <si>
    <t>C1770515460061</t>
  </si>
  <si>
    <t>منةالله محمود</t>
  </si>
  <si>
    <t>0544792169</t>
  </si>
  <si>
    <t xml:space="preserve"> ربدان</t>
  </si>
  <si>
    <t>ابو ظبي _ ربدان _٢٠ شارع النُبل</t>
  </si>
  <si>
    <t>https://www.google.com/maps?q=24.39610425921583,54.49483149375458</t>
  </si>
  <si>
    <t>C1770547935976</t>
  </si>
  <si>
    <t>Eman</t>
  </si>
  <si>
    <t>0521455131</t>
  </si>
  <si>
    <t>Baniyas</t>
  </si>
  <si>
    <t>Abudhabi</t>
  </si>
  <si>
    <t>https://www.google.com/maps?q=24.291334967584127,54.64323865569349</t>
  </si>
  <si>
    <t>C1770669099952</t>
  </si>
  <si>
    <t>دينا هجرسي</t>
  </si>
  <si>
    <t>0529858455</t>
  </si>
  <si>
    <t>غير معروف</t>
  </si>
  <si>
    <t>https://maps.google.com/?q=24.394480,54.729683</t>
  </si>
  <si>
    <t>C1771610943038</t>
  </si>
  <si>
    <t>0503890272</t>
  </si>
  <si>
    <t>19 ش التناصر</t>
  </si>
  <si>
    <t>https://www.google.com/maps?q=24.4212657,54.5580295</t>
  </si>
  <si>
    <t>C1771619381466</t>
  </si>
  <si>
    <t>Mona</t>
  </si>
  <si>
    <t>0501157120</t>
  </si>
  <si>
    <t>المشرف شارع الحكمه فيلا ٧٤ شقه G2</t>
  </si>
  <si>
    <t>https://www.google.com/maps?q=24.4394904,54.3926422</t>
  </si>
  <si>
    <t>C1771623452818</t>
  </si>
  <si>
    <t>ali Abdulla</t>
  </si>
  <si>
    <t>0528920251</t>
  </si>
  <si>
    <t>Wakr street villa 71</t>
  </si>
  <si>
    <t>https://www.google.com/maps?q=24.4245998,54.4273868</t>
  </si>
  <si>
    <t>C1771627698168</t>
  </si>
  <si>
    <t>Omnia krawia</t>
  </si>
  <si>
    <t>0586635153</t>
  </si>
  <si>
    <t>Abu Dhabi -el riyadh city / elqosor street</t>
  </si>
  <si>
    <t>https://www.google.com/maps?q=24.33805838086345,54.76028767030324</t>
  </si>
  <si>
    <t>C1771670096653</t>
  </si>
  <si>
    <t>أم رقية</t>
  </si>
  <si>
    <t>0502458090</t>
  </si>
  <si>
    <t>الفلاح</t>
  </si>
  <si>
    <t>الفلاح القديم ابوظبى شارع الحصاد فيلا ٥</t>
  </si>
  <si>
    <t>https://www.google.com/maps?q=24.419429779052734,54.72201156616211</t>
  </si>
  <si>
    <t>C1771677539136</t>
  </si>
  <si>
    <t>0509795323</t>
  </si>
  <si>
    <t>https://www.google.com/maps?q=24.2988795,54.6298053</t>
  </si>
  <si>
    <t>C1771690082341</t>
  </si>
  <si>
    <t>محمد على</t>
  </si>
  <si>
    <t>0554245214</t>
  </si>
  <si>
    <t>ابو ظبى بنى ياس عند مدرسة العزة فيلا 11</t>
  </si>
  <si>
    <t>https://www.google.com/maps?q=24.321683883666992,54.619476318359375</t>
  </si>
  <si>
    <t>C1771699772284</t>
  </si>
  <si>
    <t>Bassant Sabet</t>
  </si>
  <si>
    <t>0527676008</t>
  </si>
  <si>
    <t>Reem island sigma 1 tower flat 1307</t>
  </si>
  <si>
    <t>https://www.google.com/maps?q=24.499030574501223,54.404329061508186</t>
  </si>
  <si>
    <t>C1771702496523</t>
  </si>
  <si>
    <t>اية احمد</t>
  </si>
  <si>
    <t>0503715500</t>
  </si>
  <si>
    <t>ابوظبى شارع المرور</t>
  </si>
  <si>
    <t>ابو ظبى شارع المرور مقابل مدينة زايد بناية الاتحاد شقة ١٠٠٣</t>
  </si>
  <si>
    <t>https://www.google.com/maps?q=24.482894262046862,54.36845129857045</t>
  </si>
  <si>
    <t>C1771737125873</t>
  </si>
  <si>
    <t>Alamir</t>
  </si>
  <si>
    <t>0508775811</t>
  </si>
  <si>
    <t>المرور</t>
  </si>
  <si>
    <t>المرور شارع ٢٥ فيلا ٥٥</t>
  </si>
  <si>
    <t>https://www.google.com/maps?q=24.44315019038772,54.42298411154397</t>
  </si>
  <si>
    <t>C1771751440441</t>
  </si>
  <si>
    <t>Hassan</t>
  </si>
  <si>
    <t>0585631318</t>
  </si>
  <si>
    <t>Al Raha beach</t>
  </si>
  <si>
    <t>201, C7 East Coast Al Raha,  Abu Dhabi</t>
  </si>
  <si>
    <t>https://www.google.com/maps?q=24.448035114805602,54.607639415189624</t>
  </si>
  <si>
    <t>C1771757286743</t>
  </si>
  <si>
    <t>محمود احمد</t>
  </si>
  <si>
    <t>0582582675</t>
  </si>
  <si>
    <t>شقة 4 الدور الاول فيلا 42 شارع قطوف ال نهيان ابوظبي</t>
  </si>
  <si>
    <t>https://www.google.com/maps?q=24.4750978,54.3835569</t>
  </si>
  <si>
    <t>C1771757350077</t>
  </si>
  <si>
    <t>Intisar Alazzeh</t>
  </si>
  <si>
    <t>0563838602</t>
  </si>
  <si>
    <t>The wave reem island  2306</t>
  </si>
  <si>
    <t>https://www.google.com/maps?q=24.4855763,54.4040577</t>
  </si>
  <si>
    <t>C1771796988850</t>
  </si>
  <si>
    <t>دينا محمد</t>
  </si>
  <si>
    <t>0551915254</t>
  </si>
  <si>
    <t>الوحده</t>
  </si>
  <si>
    <t>18 شارع المرور بجانب محطه الباصات</t>
  </si>
  <si>
    <t>https://www.google.com/maps?q=24.46786117324894,54.37957035904881</t>
  </si>
  <si>
    <t>C1771826252989</t>
  </si>
  <si>
    <t>Mai Hamed</t>
  </si>
  <si>
    <t>0563043990</t>
  </si>
  <si>
    <t>٥١٢ زايد الاول الخالدية عمارة مستر بيكر الدور التاني شقة ٢٠٥</t>
  </si>
  <si>
    <t>https://www.google.com/maps?q=24.47534554101265,54.351213039110156</t>
  </si>
  <si>
    <t>C1771849334211</t>
  </si>
  <si>
    <t>عبدالله</t>
  </si>
  <si>
    <t>0592391410</t>
  </si>
  <si>
    <t>أبو ظبي شارع الهيل بنايه 14 تحت البنايه محل اثاث تراثي- تنكر المي شارع الكوار</t>
  </si>
  <si>
    <t>https://www.google.com/maps?q=24.463177,54.3833963</t>
  </si>
  <si>
    <t>C1771849537734</t>
  </si>
  <si>
    <t>Walaa Salah</t>
  </si>
  <si>
    <t>0502391410</t>
  </si>
  <si>
    <t>أبو ظبي بنايه 14 تحت البنايه محل اثاث تراثي ومن الخلف كنزه للخياطه-تنكر المي شارع الكوار</t>
  </si>
  <si>
    <t>https://www.google.com/maps?q=24.4632274,54.3833146</t>
  </si>
  <si>
    <t>C1771865426772</t>
  </si>
  <si>
    <t>صفاء مصطفي</t>
  </si>
  <si>
    <t>0567800510</t>
  </si>
  <si>
    <t xml:space="preserve"> الفلاح الجديد</t>
  </si>
  <si>
    <t>الفلاح الجديد فيلا 8</t>
  </si>
  <si>
    <t>https://www.google.com/maps?q=24.4470366,54.7165587</t>
  </si>
  <si>
    <t>C1771867498596</t>
  </si>
  <si>
    <t>محمود مجدي</t>
  </si>
  <si>
    <t>0568758102</t>
  </si>
  <si>
    <t>مدينة الرياض</t>
  </si>
  <si>
    <t>فيلا رقم ٨, شارع المرحب، مدينة الرياض، أبوظبي</t>
  </si>
  <si>
    <t>https://www.google.com/maps?q=24.338799,54.739096</t>
  </si>
  <si>
    <t>C1772061752146</t>
  </si>
  <si>
    <t>وهب</t>
  </si>
  <si>
    <t>0547456425</t>
  </si>
  <si>
    <t>الراحه</t>
  </si>
  <si>
    <t>شاطئ الراحه مبنى الشاطي C22 الدور السادس شقة 601</t>
  </si>
  <si>
    <t>https://www.google.com/maps?q=24.443651017632494,54.59036286828321</t>
  </si>
  <si>
    <t>C1772292970507</t>
  </si>
  <si>
    <t>Eman Mohamed</t>
  </si>
  <si>
    <t>0504141122</t>
  </si>
  <si>
    <t>درويش تاور Saghwa، ‏Darwish Tower، ‏Danet، ‏Abu Dhabi</t>
  </si>
  <si>
    <t>https://www.google.com/maps?q=24.43063589310395,54.43506326981162</t>
  </si>
  <si>
    <t>C1772297105220</t>
  </si>
  <si>
    <t>ممدوح ابو العطا</t>
  </si>
  <si>
    <t>0506677573</t>
  </si>
  <si>
    <t>شارع بدع بنت سعود- بنايه ٦ - شقة ٦</t>
  </si>
  <si>
    <t>https://www.google.com/maps?q=24.4470586,54.3894177</t>
  </si>
  <si>
    <t>C1772305247245</t>
  </si>
  <si>
    <t>محمد علي  حموده</t>
  </si>
  <si>
    <t>0564650890</t>
  </si>
  <si>
    <t>خلف فندق الدانيه مقابل ابوظبي شقة ٢٠١ ومش عاوز يقول اسم البناية</t>
  </si>
  <si>
    <t>https://www.google.com/maps?q=24.4941896,54.3814637</t>
  </si>
  <si>
    <t>C1772405871440</t>
  </si>
  <si>
    <t>سارة عرابي</t>
  </si>
  <si>
    <t>0503028253</t>
  </si>
  <si>
    <t>١٩٠٤ سي سايد تاور جزيرة الريم أبوظبي</t>
  </si>
  <si>
    <t>https://www.google.com/maps?q=24.51157740485651,54.406181647508646</t>
  </si>
  <si>
    <t>C1772831986728</t>
  </si>
  <si>
    <t>Sara</t>
  </si>
  <si>
    <t>0559282173</t>
  </si>
  <si>
    <t>Khalifa A</t>
  </si>
  <si>
    <t>C6 building 33 1st floor flat 104</t>
  </si>
  <si>
    <t>https://www.google.com/maps?q=24.3974839714766,54.559356103338686</t>
  </si>
  <si>
    <t>C1772926889022</t>
  </si>
  <si>
    <t>Zeinat Mohamed</t>
  </si>
  <si>
    <t>0506637858</t>
  </si>
  <si>
    <t>Abu Dhabi</t>
  </si>
  <si>
    <t>Al nahyan</t>
  </si>
  <si>
    <t>https://www.google.com/maps?q=24.47106409239696,54.381721370928126</t>
  </si>
  <si>
    <t>C1772965182409</t>
  </si>
  <si>
    <t>Mohamed abdelrehim</t>
  </si>
  <si>
    <t>0558068436</t>
  </si>
  <si>
    <t>شخبوط شارع جبل القدح فيلا ١٦</t>
  </si>
  <si>
    <t>https://www.google.com/maps?q=24.360813474766438,54.642773217653065</t>
  </si>
  <si>
    <t>C1772971516134</t>
  </si>
  <si>
    <t>Tala gasser</t>
  </si>
  <si>
    <t>0506282252</t>
  </si>
  <si>
    <t>Alshamkha</t>
  </si>
  <si>
    <t>١٠ شارع النياق ، الشامخه . ابوظبي</t>
  </si>
  <si>
    <t>https://www.google.com/maps?q=24.35254267528197,54.69258984804956</t>
  </si>
  <si>
    <t>C1772992446114</t>
  </si>
  <si>
    <t>Samar moahemd ramadan</t>
  </si>
  <si>
    <t>0543281443</t>
  </si>
  <si>
    <t xml:space="preserve">شارع المطار </t>
  </si>
  <si>
    <t>بنايه جيماكو شارع المطار بجوار بيبي شوب</t>
  </si>
  <si>
    <t>https://www.google.com/maps?q=24.478768124666736,54.3643088168759</t>
  </si>
  <si>
    <t>C1773047472689</t>
  </si>
  <si>
    <t>ابو سيف</t>
  </si>
  <si>
    <t>0569237999</t>
  </si>
  <si>
    <t>الخالدية  بناية البدر للصرافة شقة 104 بجوار مطعم سي شيل</t>
  </si>
  <si>
    <t>https://www.google.com/maps?q=24.477120717348615,54.3545687198639</t>
  </si>
  <si>
    <t>C1773089487472</t>
  </si>
  <si>
    <t>علياء عثمان</t>
  </si>
  <si>
    <t>0563890322</t>
  </si>
  <si>
    <t>الشوامخ ٩ ، خلف فيلا ٨ ، الدور الثالث شقة ٩</t>
  </si>
  <si>
    <t>https://www.google.com/maps?q=24.3601991598792,54.662563475698704</t>
  </si>
  <si>
    <t>C1773132717949</t>
  </si>
  <si>
    <t>عبد الغني</t>
  </si>
  <si>
    <t>0582962423</t>
  </si>
  <si>
    <t>ايو ظبي الشامخه ٢١ فيلا ٢٩ امام المسجز</t>
  </si>
  <si>
    <t>https://www.google.com/maps?q=24.36229786906206,54.71295350260086</t>
  </si>
  <si>
    <t>C1773236805015</t>
  </si>
  <si>
    <t>محمد رمضان</t>
  </si>
  <si>
    <t>0502245788</t>
  </si>
  <si>
    <t>0502246788</t>
  </si>
  <si>
    <t>١٩ شارع الدلمون مدينه الرياض ابوظبي</t>
  </si>
  <si>
    <t>https://www.google.com/maps?q=24.32675659152615,54.745348638890064</t>
  </si>
  <si>
    <t>C1774010008326</t>
  </si>
  <si>
    <t>Maram Alaa</t>
  </si>
  <si>
    <t>0501037098</t>
  </si>
  <si>
    <t>مدينه خليفه أ - شارع الهاملان - فيلا ١٥</t>
  </si>
  <si>
    <t>https://www.google.com/maps?q=24.423376367853244,54.573208821945485</t>
  </si>
  <si>
    <t>C1774726866011</t>
  </si>
  <si>
    <t>نادين محمد ابو الفتوح</t>
  </si>
  <si>
    <t>0521502600</t>
  </si>
  <si>
    <t>ابو ظبي جزيرة الريم برج امايا ٢ الدور ٥ شقة ٥٠٧</t>
  </si>
  <si>
    <t>https://www.google.com/maps?q=24.5108128,54.4056452</t>
  </si>
  <si>
    <t>C1774727863811</t>
  </si>
  <si>
    <t>أحمد حسام</t>
  </si>
  <si>
    <t>0526525953</t>
  </si>
  <si>
    <t xml:space="preserve"> الدانه</t>
  </si>
  <si>
    <t>ابو ظبي شارع الفلاح فيلا ٩ أمام النادي السوداني</t>
  </si>
  <si>
    <t>https://www.google.com/maps?q=24.4816992,54.375785</t>
  </si>
  <si>
    <t>C1774734587228</t>
  </si>
  <si>
    <t>Esraa hamed</t>
  </si>
  <si>
    <t>0562562652</t>
  </si>
  <si>
    <t>ابوظبي محمد بن زايد زون 13</t>
  </si>
  <si>
    <t>https://www.google.com/maps?q=24.3468536,54.565883</t>
  </si>
  <si>
    <t>C1774750980325</t>
  </si>
  <si>
    <t>0505392991</t>
  </si>
  <si>
    <t>مدينة خليفه</t>
  </si>
  <si>
    <t>جنوب غرب 12 - شارع  الشاسع - مجمع سكني 13 - فيلا 5</t>
  </si>
  <si>
    <t>https://www.google.com/maps?q=24.417626032389048,54.550657518335115</t>
  </si>
  <si>
    <t>C1774779203652</t>
  </si>
  <si>
    <t>Mohamed Helal</t>
  </si>
  <si>
    <t>0569296111</t>
  </si>
  <si>
    <t xml:space="preserve">Dubai </t>
  </si>
  <si>
    <t>Emaar town square building 4B</t>
  </si>
  <si>
    <t>https://www.google.com/maps?q=25.001207522049086,55.2876122960133</t>
  </si>
  <si>
    <t>C1774782292093</t>
  </si>
  <si>
    <t>عمرو</t>
  </si>
  <si>
    <t>0543306738</t>
  </si>
  <si>
    <t>Al Nahyan-</t>
  </si>
  <si>
    <t>404, Building Number 45, Tawi Shouf St</t>
  </si>
  <si>
    <t>https://www.google.com/maps?q=24.476329808458125,54.38142778308487</t>
  </si>
  <si>
    <t>C1774784376433</t>
  </si>
  <si>
    <t>محمد العربي</t>
  </si>
  <si>
    <t>0509927013</t>
  </si>
  <si>
    <t>ابوظبي مدينة الرياض زون ١١ فيلا ٩٤</t>
  </si>
  <si>
    <t>https://www.google.com/maps?q=24.330307744760578,54.76956479517223</t>
  </si>
  <si>
    <t>C1774819387402</t>
  </si>
  <si>
    <t>Hend Kishta</t>
  </si>
  <si>
    <t>0507190666</t>
  </si>
  <si>
    <t xml:space="preserve"> محمد بن زايد</t>
  </si>
  <si>
    <t>Abu Dhabi, M.B.Z, Zone 2, Barqa Rashid Street, Villa 9, Entrance 4, Flat 403.</t>
  </si>
  <si>
    <t>https://www.google.com/maps?q=24.366007728996085,54.548544613856215</t>
  </si>
  <si>
    <t>C1774863111890</t>
  </si>
  <si>
    <t>Esraa</t>
  </si>
  <si>
    <t>0503354863</t>
  </si>
  <si>
    <t>المنهل المناصير</t>
  </si>
  <si>
    <t>https://www.google.com/maps?q=24.4540401,54.3598065</t>
  </si>
  <si>
    <t>C1774869456937</t>
  </si>
  <si>
    <t>اسماء شوقي</t>
  </si>
  <si>
    <t>0557557018</t>
  </si>
  <si>
    <t>النادي السياحي -الزاهية -بنايات جمعة الماجد</t>
  </si>
  <si>
    <t>https://www.google.com/maps?q=24.4935017,54.3793678</t>
  </si>
  <si>
    <t>C1774869491145</t>
  </si>
  <si>
    <t>Eslam ali</t>
  </si>
  <si>
    <t>0509031568</t>
  </si>
  <si>
    <t>ابوظبي مدينة الرياض شارع الوهيد فيلا رقم ٨ حوض ١١</t>
  </si>
  <si>
    <t>https://www.google.com/maps?q=24.348643293274797,54.748416251520965</t>
  </si>
  <si>
    <t>C1774870712294</t>
  </si>
  <si>
    <t>Shaimaa Mohamed</t>
  </si>
  <si>
    <t>0586658720</t>
  </si>
  <si>
    <t>خليفه بن شخبوط مع الفلاح شارع مهرا الزعابي فيلا ٣٨</t>
  </si>
  <si>
    <t>https://www.google.com/maps?q=24.4615021,54.3545418</t>
  </si>
  <si>
    <t>C1775944188678</t>
  </si>
  <si>
    <t>احمد علي</t>
  </si>
  <si>
    <t>0522427241</t>
  </si>
  <si>
    <t>أبوظبي الرياض حوض ٢٤ شارع الجمل بجوار مسجد الـ عمران</t>
  </si>
  <si>
    <t>https://www.google.com/maps?q=24.330156944863205,54.75991327987001</t>
  </si>
  <si>
    <t>C1776015469393</t>
  </si>
  <si>
    <t>Noha Nabil</t>
  </si>
  <si>
    <t>0564817956</t>
  </si>
  <si>
    <t>الشامخة 24</t>
  </si>
  <si>
    <t>Arkob Gamad, Villa9</t>
  </si>
  <si>
    <t>https://www.google.com/maps?q=24.3572919,54.6978792</t>
  </si>
  <si>
    <t>C1776076570163</t>
  </si>
  <si>
    <t>Yasmin gaber</t>
  </si>
  <si>
    <t>0545499838</t>
  </si>
  <si>
    <t>Abudhabi MBZ Zone 4 mashghouf street villa 80 apartment 12</t>
  </si>
  <si>
    <t>https://www.google.com/maps?q=24.36830143073938,54.53328043255577</t>
  </si>
  <si>
    <t>C1776078745325</t>
  </si>
  <si>
    <t>هاجر سمير</t>
  </si>
  <si>
    <t>0561264812</t>
  </si>
  <si>
    <t>ڤيلا 9خلف كرم الشام</t>
  </si>
  <si>
    <t>https://www.google.com/maps?q=24.3795509,54.6431626</t>
  </si>
  <si>
    <t>C1776079345475</t>
  </si>
  <si>
    <t>دينا عبد الرازق</t>
  </si>
  <si>
    <t>0561627242</t>
  </si>
  <si>
    <t>الرياض زون ١٤-بيت رقم 13</t>
  </si>
  <si>
    <t>C1776094306115</t>
  </si>
  <si>
    <t>شيماء</t>
  </si>
  <si>
    <t>0521303371</t>
  </si>
  <si>
    <t>الزاهيه ابوظبي بنايه رقم 9بجوار مطعم جاد وامام ملحمه أبوسعيد شقه 301 نفس بنايه مطابخ اكسينا</t>
  </si>
  <si>
    <t>https://www.google.com/maps?q=24.489808806913402,54.379773574784124</t>
  </si>
  <si>
    <t>C1776410648055</t>
  </si>
  <si>
    <t>زاهر علي</t>
  </si>
  <si>
    <t>0544783922</t>
  </si>
  <si>
    <t>الشوامخ أبو ظبي</t>
  </si>
  <si>
    <t>https://www.google.com/maps?q=24.4311324,54.404712</t>
  </si>
  <si>
    <t>C1776512978406</t>
  </si>
  <si>
    <t>فاطمه</t>
  </si>
  <si>
    <t>0581257017</t>
  </si>
  <si>
    <t xml:space="preserve"> بني ياس</t>
  </si>
  <si>
    <t>بني ياس الغابات شارع المويجعي فيلا 72</t>
  </si>
  <si>
    <t>https://www.google.com/maps?q=24.31905160812305,54.614734315080874</t>
  </si>
  <si>
    <t>C1776515181712</t>
  </si>
  <si>
    <t>نسمة السعيد السعيد</t>
  </si>
  <si>
    <t>0561701325</t>
  </si>
  <si>
    <t>شارع المطار تحتي محمصة الأمراء</t>
  </si>
  <si>
    <t>https://www.google.com/maps?q=24.4595001,54.381497</t>
  </si>
  <si>
    <t>C1776515849146</t>
  </si>
  <si>
    <t>هاجر محمد</t>
  </si>
  <si>
    <t>0502358249</t>
  </si>
  <si>
    <t>ربدان /شارع اللزيمة /فيلا 40/الدور الثاني شقة 29</t>
  </si>
  <si>
    <t>https://www.google.com/maps?q=24.4018107,54.519146</t>
  </si>
  <si>
    <t>C1776524582093</t>
  </si>
  <si>
    <t>علي احمد علي سليمان</t>
  </si>
  <si>
    <t>0507725291</t>
  </si>
  <si>
    <t>شارع المرور</t>
  </si>
  <si>
    <t>شارع المرور الشرقي النهيان</t>
  </si>
  <si>
    <t>https://www.google.com/maps?q=24.4564229,54.3908429</t>
  </si>
  <si>
    <t>C1776540785227</t>
  </si>
  <si>
    <t>لينا حسام نمر عيسى</t>
  </si>
  <si>
    <t>0521799535</t>
  </si>
  <si>
    <t>الخالدية - بناية مارني كوفي مقابل مطعم الريان- بناية رقم 18 شقة 103</t>
  </si>
  <si>
    <t>https://www.google.com/maps?q=24.470844819641226,54.347537898025884</t>
  </si>
  <si>
    <t>C1776615694319</t>
  </si>
  <si>
    <t>Zahra</t>
  </si>
  <si>
    <t>0542458946</t>
  </si>
  <si>
    <t>حوض ٢٢ شارع اليدمة مجمع ١٤ فيلا ٦ شقة ٦ الشخبوط ابوظبي</t>
  </si>
  <si>
    <t>https://www.google.com/maps?q=24.380355,54.6460511</t>
  </si>
  <si>
    <t>C1776633916549</t>
  </si>
  <si>
    <t>Aya</t>
  </si>
  <si>
    <t>0585284234</t>
  </si>
  <si>
    <t>المقطع</t>
  </si>
  <si>
    <t>بين الجسرين شارع ام عشر بالقرب من توكيل bmw</t>
  </si>
  <si>
    <t>https://www.google.com/maps?q=24.413685,54.495136</t>
  </si>
  <si>
    <t>https://www.google.com/maps?q=24.488377867585715,54.367009850610614</t>
  </si>
  <si>
    <t>C1776766825504</t>
  </si>
  <si>
    <t>Samar</t>
  </si>
  <si>
    <t>0551452306</t>
  </si>
  <si>
    <t>Al Reem Island,   Marina square, building 04- apartment 605</t>
  </si>
  <si>
    <t>https://www.google.com/maps?q=24.49321174621582,54.3942756652832</t>
  </si>
  <si>
    <t>https://www.google.com/maps?q=24.488371589473537,54.367044254513516</t>
  </si>
  <si>
    <t>C1776776178650</t>
  </si>
  <si>
    <t>Maha</t>
  </si>
  <si>
    <t>0551997963</t>
  </si>
  <si>
    <t>شاطئ الراحة-المنيره-الندى ١ بلوك B شقه 505</t>
  </si>
  <si>
    <t>https://www.google.com/maps?q=24.449356895478534,54.60404634475709</t>
  </si>
  <si>
    <t>C1776780516941</t>
  </si>
  <si>
    <t>Ghada ahmed</t>
  </si>
  <si>
    <t>0502229435</t>
  </si>
  <si>
    <t>Abu Dhabi Al dafra street</t>
  </si>
  <si>
    <t>https://www.google.com/maps?q=24.4430412,54.4178762</t>
  </si>
  <si>
    <t>C1776871600992</t>
  </si>
  <si>
    <t>Noha</t>
  </si>
  <si>
    <t>0566594837</t>
  </si>
  <si>
    <t>Tourist club</t>
  </si>
  <si>
    <t>16 Al Fakhr street . Al Zaby’s</t>
  </si>
  <si>
    <t>https://www.google.com/maps?q=24.49899559076929,54.37477022409441</t>
  </si>
  <si>
    <t>C1776884700619</t>
  </si>
  <si>
    <t>ملك عمرو</t>
  </si>
  <si>
    <t>0523020946</t>
  </si>
  <si>
    <t>امام شارع الدفاع</t>
  </si>
  <si>
    <t>شارع الفلاح مقابل وير مارت بنايه فريش بالاس الطابق 1408</t>
  </si>
  <si>
    <t>https://www.google.com/maps?q=24.476906066431106,54.367972972393915</t>
  </si>
  <si>
    <t>C1776888062952</t>
  </si>
  <si>
    <t>وائل محمد أحمد</t>
  </si>
  <si>
    <t>0508999820</t>
  </si>
  <si>
    <t>ارجان - دبى</t>
  </si>
  <si>
    <t>شقه رقم ٢٠٩، بنايه Z2 Tower, ارجان - دبى</t>
  </si>
  <si>
    <t>https://www.google.com/maps?q=25.0653548,55.2354206</t>
  </si>
  <si>
    <t>C1776965163503</t>
  </si>
  <si>
    <t>Salah Ismail</t>
  </si>
  <si>
    <t>0559290905</t>
  </si>
  <si>
    <t>الباهيه</t>
  </si>
  <si>
    <t>الباهيه البحر</t>
  </si>
  <si>
    <t>https://www.google.com/maps?q=24.556686794624948,54.640817642211914</t>
  </si>
  <si>
    <t>C1776965969026</t>
  </si>
  <si>
    <t>ام احمد حسن</t>
  </si>
  <si>
    <t>0562202972</t>
  </si>
  <si>
    <t xml:space="preserve"> الخالدية</t>
  </si>
  <si>
    <t>ابوظبي شارع زايد الاول الخالدية بناية الاوقاف الدور ١١ شقة ١٧</t>
  </si>
  <si>
    <t>https://www.google.com/maps?q=24.476825714111328,54.353424072265625</t>
  </si>
  <si>
    <t>https://www.google.com/maps?q=24.488382791676692,54.36702937609397</t>
  </si>
  <si>
    <t>C1777017651966</t>
  </si>
  <si>
    <t>نرمين الجوهري</t>
  </si>
  <si>
    <t>0589958844</t>
  </si>
  <si>
    <t>ابو ظبي/ جزيرة الريم/ برج سي سايد/ شقة ١٥١٠</t>
  </si>
  <si>
    <t>https://www.google.com/maps?q=24.51028060913086,54.40510177612305</t>
  </si>
  <si>
    <t>https://www.google.com/maps?q=24.4883879098496,54.366944379807336</t>
  </si>
  <si>
    <t>C1777051281174</t>
  </si>
  <si>
    <t>محمود محمد طلبة</t>
  </si>
  <si>
    <t>0503949363</t>
  </si>
  <si>
    <t>شارع خليفه بن شخبوط بجوار مدرسة الامارات الوطنية فيلا 314</t>
  </si>
  <si>
    <t>https://www.google.com/maps?q=24.4578404,54.3588195</t>
  </si>
  <si>
    <t>C1777064176826</t>
  </si>
  <si>
    <t>كيرولس جورج</t>
  </si>
  <si>
    <t>0559463854</t>
  </si>
  <si>
    <t>A2005 , Hisn w4, Post office Towers</t>
  </si>
  <si>
    <t>https://www.google.com/maps?q=24.47857816060845,54.360889282301585</t>
  </si>
  <si>
    <t>C1777106610222</t>
  </si>
  <si>
    <t>هاجر علاء</t>
  </si>
  <si>
    <t>0507632292</t>
  </si>
  <si>
    <t>مدينة مصدر</t>
  </si>
  <si>
    <t>Oasis 1 Reportage ,Abu Dhabi</t>
  </si>
  <si>
    <t>https://www.google.com/maps?q=24.43004865095136,54.62129140763867</t>
  </si>
  <si>
    <t>C1777204157092</t>
  </si>
  <si>
    <t>Rasha</t>
  </si>
  <si>
    <t>0556653859</t>
  </si>
  <si>
    <t>النادى السياحى</t>
  </si>
  <si>
    <t>النادى السياحى بنايه رقم ٦</t>
  </si>
  <si>
    <t>https://www.google.com/maps?q=24.491471238626293,54.37904771200508</t>
  </si>
  <si>
    <t>C1777215100135</t>
  </si>
  <si>
    <t>احمد محمد حنفى</t>
  </si>
  <si>
    <t>0558980316</t>
  </si>
  <si>
    <t>الشعبيه 12</t>
  </si>
  <si>
    <t>شارع المدارس</t>
  </si>
  <si>
    <t>https://www.google.com/maps?q=24.3203767,54.5380537</t>
  </si>
  <si>
    <t>C1777231230662</t>
  </si>
  <si>
    <t>احمد عيد</t>
  </si>
  <si>
    <t>0509838371</t>
  </si>
  <si>
    <t>مدينه الرياض ابو ظبي فيلا 103 شارع التمام</t>
  </si>
  <si>
    <t>https://www.google.com/maps?q=24.3590233,54.7475746</t>
  </si>
  <si>
    <t>C1777490531858</t>
  </si>
  <si>
    <t>khaled Mossad</t>
  </si>
  <si>
    <t>0563100602</t>
  </si>
  <si>
    <t xml:space="preserve"> جزيرة الريم</t>
  </si>
  <si>
    <t>جزيرة الريم / برج باهين / شقة ١٠٣</t>
  </si>
  <si>
    <t>https://www.google.com/maps?q=24.4824623,54.4073493</t>
  </si>
  <si>
    <t>C1777558793119</t>
  </si>
  <si>
    <t>مروه احمد</t>
  </si>
  <si>
    <t>0568451779</t>
  </si>
  <si>
    <t>https://www.google.com/maps?q=24.4127259,54.7428179</t>
  </si>
  <si>
    <t>C1777709650033</t>
  </si>
  <si>
    <t>رانا يسري حسن</t>
  </si>
  <si>
    <t>0501211349</t>
  </si>
  <si>
    <t>Al raha beach</t>
  </si>
  <si>
    <t>Al raha beach, Al Qana street, Amwaj 2 , B404</t>
  </si>
  <si>
    <t>https://www.google.com/maps?q=24.450063396978898,54.61462615166343</t>
  </si>
  <si>
    <t>C1777795240548</t>
  </si>
  <si>
    <t>Sara Yasser</t>
  </si>
  <si>
    <t>0524212865</t>
  </si>
  <si>
    <t>الدانة</t>
  </si>
  <si>
    <t>80 شارع فاطمة بنت علي الرميثي، الدانه، ابو ظبي</t>
  </si>
  <si>
    <t>https://www.google.com/maps?q=24.4828856,54.3733929</t>
  </si>
  <si>
    <t>C1777846346440</t>
  </si>
  <si>
    <t>ياسين محمد</t>
  </si>
  <si>
    <t>0501217804</t>
  </si>
  <si>
    <t>فيلا20شارع الحاصله متفرع الفريده</t>
  </si>
  <si>
    <t>https://www.google.com/maps?q=24.4392586,54.3933716</t>
  </si>
  <si>
    <t>https://www.google.com/maps?q=24.48833760309474,54.36702741822011</t>
  </si>
  <si>
    <t>C1777885162121</t>
  </si>
  <si>
    <t>ايمان محي الين</t>
  </si>
  <si>
    <t>0505020607</t>
  </si>
  <si>
    <t>جزيرة الريم سي سايد تاور</t>
  </si>
  <si>
    <t>https://www.google.com/maps?q=24.51154807780287,54.40622682406262</t>
  </si>
  <si>
    <t>C1778158006928</t>
  </si>
  <si>
    <t>روان شاهين</t>
  </si>
  <si>
    <t>0501962435</t>
  </si>
  <si>
    <t>الريم</t>
  </si>
  <si>
    <t>جزيرة الريم pixel tower 1 404</t>
  </si>
  <si>
    <t>https://www.google.com/maps?q=24.504093170000004,54.41565322000001</t>
  </si>
  <si>
    <t>C1778181837755</t>
  </si>
  <si>
    <t>هاجر السيد</t>
  </si>
  <si>
    <t>0508168275</t>
  </si>
  <si>
    <t>بني ياس بوابة الشرق مول شرق 2 فيلا ٢٠</t>
  </si>
  <si>
    <t>https://www.google.com/maps?q=24.32160286901728,54.62401405136186</t>
  </si>
  <si>
    <t>C1778204800666</t>
  </si>
  <si>
    <t>Sala Ibrahim</t>
  </si>
  <si>
    <t>0502577410</t>
  </si>
  <si>
    <t>ابو ظبي مدينة خليفة أ</t>
  </si>
  <si>
    <t>https://www.google.com/maps?q=24.406132267192973,54.57922825754812</t>
  </si>
  <si>
    <t>C1778224809951</t>
  </si>
  <si>
    <t>احمدقرني هليل الشريف</t>
  </si>
  <si>
    <t>0502577778</t>
  </si>
  <si>
    <t>أبراج الخور</t>
  </si>
  <si>
    <t>https://www.google.com/maps?q=25.39364255621061,55.45526693157126</t>
  </si>
  <si>
    <t>C1778243253026</t>
  </si>
  <si>
    <t>0557827324</t>
  </si>
  <si>
    <t>https://www.google.com/maps?q=24.4839877,54.3736343</t>
  </si>
  <si>
    <t>C1778263116770</t>
  </si>
  <si>
    <t>مى حواش</t>
  </si>
  <si>
    <t>0509572794</t>
  </si>
  <si>
    <t>ال نهيان تنكر المية أبو ظبى</t>
  </si>
  <si>
    <t>https://www.google.com/maps?q=24.4617356,54.3850919</t>
  </si>
  <si>
    <t>C1778263906753</t>
  </si>
  <si>
    <t>0541785006</t>
  </si>
  <si>
    <t>المشرف شارع الحكمه فيلا ٧٤ شقه G</t>
  </si>
  <si>
    <t>https://www.google.com/maps?q=24.4754124,54.3880134</t>
  </si>
  <si>
    <t>C1778322527153</t>
  </si>
  <si>
    <t>Hamza salah</t>
  </si>
  <si>
    <t>0557984310</t>
  </si>
  <si>
    <t>Al bahya</t>
  </si>
  <si>
    <t>Abu dhabi/ Al bahya / behind big bit</t>
  </si>
  <si>
    <t>https://www.google.com/maps?q=24.55635500795252,54.64145421981814</t>
  </si>
  <si>
    <t>C1778323189417</t>
  </si>
  <si>
    <t>Rana Elhawary</t>
  </si>
  <si>
    <t>0561921234</t>
  </si>
  <si>
    <t>شارع الفلاح</t>
  </si>
  <si>
    <t>905 Falah street, golden building opposite to dubai islamic bank, flat 201</t>
  </si>
  <si>
    <t>https://www.google.com/maps?q=24.4832300682437,54.37693478812294</t>
  </si>
  <si>
    <t>C1778324997814</t>
  </si>
  <si>
    <t>ايمان سامي</t>
  </si>
  <si>
    <t>0505861593</t>
  </si>
  <si>
    <t>المناصير ابوظبي فيلا 315</t>
  </si>
  <si>
    <t>https://www.google.com/maps?q=24.4578963,54.3588332</t>
  </si>
  <si>
    <t>C1778325015999</t>
  </si>
  <si>
    <t>Esraa Elwakel</t>
  </si>
  <si>
    <t>0528204091</t>
  </si>
  <si>
    <t>شارع المثابرة بنايه 29 الطابق الثالث نفس بناية مغسلة رويال روز</t>
  </si>
  <si>
    <t>https://www.google.com/maps?q=24.405996821373577,54.517312166606</t>
  </si>
  <si>
    <t>C1778325754715</t>
  </si>
  <si>
    <t>0502900416</t>
  </si>
  <si>
    <t>خلف الوحده مول</t>
  </si>
  <si>
    <t>https://www.google.com/maps?q=24.467564530656038,54.37450985494158</t>
  </si>
  <si>
    <t>C1778329102055</t>
  </si>
  <si>
    <t>محمد البدرى</t>
  </si>
  <si>
    <t>0564261700</t>
  </si>
  <si>
    <t>١٢ شارع حماد بن زيد /السعادة تاور c6/ شقة ١٣٠٢</t>
  </si>
  <si>
    <t>https://www.google.com/maps?q=24.4908791,54.3581597</t>
  </si>
  <si>
    <t>C1778332623564</t>
  </si>
  <si>
    <t>اسماء امين</t>
  </si>
  <si>
    <t>0589529098</t>
  </si>
  <si>
    <t>ابوظبي معسكر ال نهيان  عماره رقم ٦ فوق صيدليه اورنج</t>
  </si>
  <si>
    <t>https://www.google.com/maps?q=24.470613,54.3799986</t>
  </si>
  <si>
    <t>C1778333650964</t>
  </si>
  <si>
    <t>عبدالمنعم أحمد</t>
  </si>
  <si>
    <t>0507589168</t>
  </si>
  <si>
    <t>أبوظبي الخالدية خلف شويترام بناية كونكورد صالون</t>
  </si>
  <si>
    <t>https://www.google.com/maps?q=24.4747951,54.3521905</t>
  </si>
  <si>
    <t>C1778576323198</t>
  </si>
  <si>
    <t>امل حسن</t>
  </si>
  <si>
    <t>0585223488</t>
  </si>
  <si>
    <t>بناية الصفا اكسبرس رقم البناية ٤ بجانب  اديداس اوتلت على نفس خط المحلات الكبرى شقة ١٠٠٤</t>
  </si>
  <si>
    <t>https://www.google.com/maps?q=24.478335711277328,54.35318775443497</t>
  </si>
  <si>
    <t>C1778612506451</t>
  </si>
  <si>
    <t>ساره حمدي محمود</t>
  </si>
  <si>
    <t>0503043245</t>
  </si>
  <si>
    <t>منطقه السعاده</t>
  </si>
  <si>
    <t>السعاده زون ١ شرق ٤٠ شارع الابيات برج الفلاحي تاور بلوك B الدور 6 شقه 601</t>
  </si>
  <si>
    <t>https://www.google.com/maps?q=24.43210526175639,54.43378157824769</t>
  </si>
  <si>
    <t>C1778612911581</t>
  </si>
  <si>
    <t>Enas</t>
  </si>
  <si>
    <t>0555933967</t>
  </si>
  <si>
    <t>0525619293</t>
  </si>
  <si>
    <t>3210 sigma 2 alreem island</t>
  </si>
  <si>
    <t>https://www.google.com/maps?q=24.498371,54.4051157</t>
  </si>
  <si>
    <t>C1778830063953</t>
  </si>
  <si>
    <t>طيبة العدنان</t>
  </si>
  <si>
    <t>0552900311</t>
  </si>
  <si>
    <t>العنوان شارع حمدان برج العين دور1702</t>
  </si>
  <si>
    <t>https://www.google.com/maps?q=24.4949818,54.3732376</t>
  </si>
  <si>
    <t>https://www.google.com/maps?q=24.4883665432991,54.36692658190457</t>
  </si>
  <si>
    <t>C1778851009432</t>
  </si>
  <si>
    <t>Abdelrhman mayhoub</t>
  </si>
  <si>
    <t>0543358712</t>
  </si>
  <si>
    <t>مدينة شخبوط</t>
  </si>
  <si>
    <t>شارع طوي مقطره فيلا 68</t>
  </si>
  <si>
    <t>https://www.google.com/maps?q=24.384909003215572,54.65625488128288</t>
  </si>
  <si>
    <t>C1779029579910</t>
  </si>
  <si>
    <t>Safa fawal</t>
  </si>
  <si>
    <t>0504245308</t>
  </si>
  <si>
    <t>الخالديه  بنايه انطونيو بجانب all print  1302</t>
  </si>
  <si>
    <t>https://www.google.com/maps?q=24.4800644,54.3507385</t>
  </si>
  <si>
    <t>https://www.google.com/maps?q=24.488334630270465,54.36703448307686</t>
  </si>
  <si>
    <t>C1779091362727</t>
  </si>
  <si>
    <t>محمود الرفاعي</t>
  </si>
  <si>
    <t>0543106677</t>
  </si>
  <si>
    <t xml:space="preserve">Emirates islamic bank building  10th floor flat no 1001  ابوظبي شارع المطار  </t>
  </si>
  <si>
    <t>https://www.google.com/maps?q=24.4581718,54.3811798</t>
  </si>
  <si>
    <t>https://www.google.com/maps?q=24.48833465409858,54.367034255556845</t>
  </si>
  <si>
    <t>C1779106329858</t>
  </si>
  <si>
    <t>Ossama ElBayoumi</t>
  </si>
  <si>
    <t>0508159557</t>
  </si>
  <si>
    <t>Khalydia</t>
  </si>
  <si>
    <t>Abu Dhabi khalydia adil market bldg 601</t>
  </si>
  <si>
    <t>https://www.google.com/maps?q=24.476023,54.3513486</t>
  </si>
  <si>
    <t>C1779111824672</t>
  </si>
  <si>
    <t>دينا شاهين</t>
  </si>
  <si>
    <t>0564995543</t>
  </si>
  <si>
    <t>بني ياس بجوار اللولو سوق البلدية بناية اكاديمية الفلاح</t>
  </si>
  <si>
    <t>ابوظبي مدينة بني ياس سوق البلدية بجوار اللولو  اكاديمية الفلاح. بناية B1</t>
  </si>
  <si>
    <t>https://www.google.com/maps?q=24.29671221735467,54.63328993941091</t>
  </si>
  <si>
    <t>C1779113259654</t>
  </si>
  <si>
    <t>ام زياد</t>
  </si>
  <si>
    <t>0554891710</t>
  </si>
  <si>
    <t>بني ياس المفرق مقابل مركز شرطة بني ياس</t>
  </si>
  <si>
    <t>https://www.google.com/maps?q=24.312021255493164,54.610374450683594</t>
  </si>
  <si>
    <t>https://www.google.com/maps?q=24.489289,54.36743</t>
  </si>
  <si>
    <t>C1779115157671</t>
  </si>
  <si>
    <t>شهيرة مجدي</t>
  </si>
  <si>
    <t>0521576306</t>
  </si>
  <si>
    <t>الفلاح الجديده</t>
  </si>
  <si>
    <t>١٤ شارع الخمريه الفلاح الجديد</t>
  </si>
  <si>
    <t>https://www.google.com/maps?q=24.43990843442449,54.727856367714615</t>
  </si>
  <si>
    <t>C1779132989774</t>
  </si>
  <si>
    <t>امام البنا</t>
  </si>
  <si>
    <t>0522031099</t>
  </si>
  <si>
    <t>سيح شعيب ٢</t>
  </si>
  <si>
    <t>سيح شعيب ٢ - مدينة دبي الصناعية - الحسين ريزدنس ١ - شقة ١٠٩</t>
  </si>
  <si>
    <t>https://www.google.com/maps?q=24.8762807226535,55.049557438993006</t>
  </si>
  <si>
    <t>C1779135917866</t>
  </si>
  <si>
    <t>شريف محمد على</t>
  </si>
  <si>
    <t>0569125153</t>
  </si>
  <si>
    <t>بني ياس شرق8</t>
  </si>
  <si>
    <t>سكن أكاديمية الفلاح أمام B coffee</t>
  </si>
  <si>
    <t>https://www.google.com/maps?q=24.2967528,54.6330295</t>
  </si>
  <si>
    <t>C1779181981641</t>
  </si>
  <si>
    <t>Amr Abdelkareem</t>
  </si>
  <si>
    <t>0565085363</t>
  </si>
  <si>
    <t>Najmat tower c02 alreem island abudhabi</t>
  </si>
  <si>
    <t>https://www.google.com/maps?q=24.4847814,54.4088861</t>
  </si>
  <si>
    <t>https://www.google.com/maps?q=24.488332107873276,54.36703648153299</t>
  </si>
  <si>
    <t>C1779191613438</t>
  </si>
  <si>
    <t>ساره ذكى</t>
  </si>
  <si>
    <t>0569233207</t>
  </si>
  <si>
    <t>ابو ظبى</t>
  </si>
  <si>
    <t>مدينه الرياض فيلا ٢٦ملحق رقم ٣</t>
  </si>
  <si>
    <t>https://www.google.com/maps?q=24.333568155473717,54.71084769152754</t>
  </si>
  <si>
    <t>OrderID</t>
  </si>
  <si>
    <t>CustomerID</t>
  </si>
  <si>
    <t>Items</t>
  </si>
  <si>
    <t>OrderDate</t>
  </si>
  <si>
    <t>Status</t>
  </si>
  <si>
    <t>O1779018370262</t>
  </si>
  <si>
    <t>20 دجاجه وزن ١٢٠٠ سعر الدجاجه ٢٠ درهم 
كل دجاجه لحالها</t>
  </si>
  <si>
    <t>تم التحديث</t>
  </si>
  <si>
    <t>fayoumi</t>
  </si>
  <si>
    <t>O1779191777788</t>
  </si>
  <si>
    <t>6فرخات بيضه وزن. ١٢٠٠</t>
  </si>
  <si>
    <t>جديد</t>
  </si>
  <si>
    <t>O1779192174812</t>
  </si>
  <si>
    <t>12دجاجة وزن 1200سعر 20درهم</t>
  </si>
  <si>
    <t>O1779192335543</t>
  </si>
  <si>
    <t>عوزه 10فرخات 1500الي 1600
2كيلو رجول</t>
  </si>
  <si>
    <t>O1779192763177</t>
  </si>
  <si>
    <t>عدد 5 دجاج ابيضّ وزن 1200
كيلو بانيه كل نص لوحده
كيلو صدور بدون عظم كل نصف لوحده</t>
  </si>
  <si>
    <t>O1779196437405</t>
  </si>
  <si>
    <t>٤ كيلو بانيه مش متقطع 
٤ كيلو اوراك وزن ١٥٠٠ كل كيلو لوحده</t>
  </si>
  <si>
    <t>O1779206737453</t>
  </si>
  <si>
    <t>١٢ دجاجه بيضا وزن ١٢٠٠</t>
  </si>
  <si>
    <t>O1779219097726</t>
  </si>
  <si>
    <t>٥ فراخ أبيض وزن 1700_1800
نص كيلو رجل</t>
  </si>
  <si>
    <t>O1779249920181</t>
  </si>
  <si>
    <t>٥ دجاج أبيض من ١٥٠٠-١٦٠٠</t>
  </si>
  <si>
    <t>O1779285905718</t>
  </si>
  <si>
    <t>3 فراخات 1200 جرام</t>
  </si>
  <si>
    <t>O1779289844939</t>
  </si>
  <si>
    <t>٢ كيلو صدور سليمه مش متقطعه 
 ٣ فرخات من ١٧٠٠الي ١٨٠٠</t>
  </si>
  <si>
    <t>2 جوز حمام وفردة حمام 
٢ ديك بلدي يكونوا ١٥٠٠ 
ديك ابيض ١٦٠٠ يتقطع ٨ قطع 
كيلو بانيه يكون رفيع 
نصف كيلو كبد وقوانص</t>
  </si>
  <si>
    <t xml:space="preserve">اللي كانت طالبه 35 دجاجة خليتهم 20 بس </t>
  </si>
  <si>
    <t>Order</t>
  </si>
  <si>
    <t>Mobile</t>
  </si>
  <si>
    <t>Sep-Text</t>
  </si>
  <si>
    <t>Oroder</t>
  </si>
  <si>
    <t>الاوردر👇</t>
  </si>
  <si>
    <t>كده الاوردرات اللي هتستلم</t>
  </si>
  <si>
    <t/>
  </si>
  <si>
    <t>Customer Name</t>
  </si>
  <si>
    <t>Latitude</t>
  </si>
  <si>
    <t>Longitude</t>
  </si>
  <si>
    <t>Distance (KM)</t>
  </si>
  <si>
    <t>Visit Order</t>
  </si>
  <si>
    <t>المينا</t>
  </si>
  <si>
    <t>Route #</t>
  </si>
  <si>
    <t>Stops Count</t>
  </si>
  <si>
    <t>Google Maps Route Link</t>
  </si>
  <si>
    <t>From row 2 to row 11</t>
  </si>
  <si>
    <t>From row 12 to row 12</t>
  </si>
  <si>
    <t>O1778084453960</t>
  </si>
  <si>
    <t>الطلب الأول
٤ كيلو موزه محلي كل كيلو لوحده
٣ و نص مفروم محلي انصاص
كيلو انتركوت محلي 
كيلو ونص سجق انصاص
كيلو طرب
اتنين كيلو بفتيك 
نص ليه ضاني
كيلو كفته رز
الطلب الثاني
٣ كيلو موزه محلى كل كيلو لوحده 
كيلو مفروم بلدى 
كيلو ونص بوفتيك 
كيلو ونص ريش 
نص ليه
كل طلب فاتوره منفصله</t>
  </si>
  <si>
    <t>malhama</t>
  </si>
  <si>
    <t>O1778421807661</t>
  </si>
  <si>
    <t>6 كيلو موزه بلدي مصرى و ٤كيلو مفروم بلدي و ٢ كيلو ستيك بلدي</t>
  </si>
  <si>
    <t>O1778526594124</t>
  </si>
  <si>
    <t>2 كيلو لحمه ريش نعيمي
2 كيلو استيك بلدي
2 ك موزه بلدي</t>
  </si>
  <si>
    <t>O1778572936964</t>
  </si>
  <si>
    <t>2 كيلو لحمه كباب حله
1كيلو لحمه من الفخده
1كيلو لحمه استيك
نصف كيلو كبده تقطيع اسكندراني
نصف كيلو كلاوى
كيلو كبدة اسكندرنى
فرده كارع عجلي
كله بلدي
كيلو الى ربع لحمه ضاني نعمل تست</t>
  </si>
  <si>
    <t>O1778584392692</t>
  </si>
  <si>
    <t>2ونص ك لحمه محلى من السمانه 
١ونص مفروم محلى 
١ك كبده محلى بدون تقطيع 
١ك انتركوت محلى
نص سجق
نص كفته رز</t>
  </si>
  <si>
    <t>O1778586772426</t>
  </si>
  <si>
    <t>قطعة من السمانة بلدي وزن كيلو سليمة مش متقطعة 
حبة كوارع مصري يفضل قدم امامي متقطعة على الطريقة المصري 
نص كبدة شرايح بلدي
نص اسكندراني سادة
نخاع
نص ممبار مش متنضف
كيلو مفروم بلدي
نص فليتو
كيلو فشة مصري
نص قلب شرايح مصري
مخاصي بلدي</t>
  </si>
  <si>
    <t>O1778602414258</t>
  </si>
  <si>
    <t>اللحوم كلها بلدي مصرية عجل
٣ ك مفروم مع دهن بلدي عجل
٣ كيلو عرق فلتو كبير بدون تقطع عجل 
٣ كيلو موزه بالعضم تقطع حلقات عجل 
٢ كيلو ريش للشوى خروف سن صغير مصري
١ كيلو سدق بلدي مصري 
١ كيلو كبدة بلدي مصري بقري تقطيع اسكندراني</t>
  </si>
  <si>
    <t>O1778665152800</t>
  </si>
  <si>
    <t>الغاء الطلب</t>
  </si>
  <si>
    <t>O1778691694005</t>
  </si>
  <si>
    <t>٢ كيلو مفروم محلي كل نص لوحده 
٤كيلو لحم محلي قطع ناعمه من الموزه 
٢ كيلو بانيه كل نص لوحده 
فرختين وزن ١٤٠٠ كل واحده 
نص كيلو كبده محلي شرايح كبيره عريضه
نص كيلو ريش خروف</t>
  </si>
  <si>
    <t>O1778694940432</t>
  </si>
  <si>
    <t>كورع مصري عدد 3
2كيلو لحم محلي 
2 كيلو لحم مصري وش فخدة
اكيلو كبدة محلي بقر
نصف كيلو كلاوي</t>
  </si>
  <si>
    <t>O1778838844757</t>
  </si>
  <si>
    <t>٢ كيلو لحم بلدي قطع أحمر ناعم 
١ كيلو كبدة بلدي صافي( نص مكعبات ونص اسكندراني )
١ كيلو ريش عجل بالعظم
نص كيلو سجق 
نص كيلو مفروم بلدي مصري 
١ كيلو انتركوت محلي</t>
  </si>
  <si>
    <t>O1778860270389</t>
  </si>
  <si>
    <t>١.٥ كيلو لحم بلدي مصري  من الضلع (٢ طبق)
١.٥ كيلو لحم بلدي مصري  سن (٢ طبق)
١.٥ كيلو لحم بلدي مصري مفروم (٢ طبق)
١.٥ كيلو لحم بلدي مصري انتركوت (٢ طبق)
١ كيلو سجق بلدي (٢ طبق)
١ كيلو ممبار
١.٥ كيلو ونص عكاوي
نص كيلو دهن بلدي + ماسورة للشوربة</t>
  </si>
  <si>
    <t>O1778908207351</t>
  </si>
  <si>
    <t>الاوردر الأول
8  كيلو لحمة بلدي  فخده 
نص كيلو لحمة راس 
نص كيلو لسان 
كيلو ونص سجق
كيلو كبده شرائح عريضه بانيه
الاوردر الثاني
كيلو لحمه مصري موزه مش ملبسه اوي تكون بسيط الدهون فيها واكتب النون النوع بتاعها
3كيلو لحمه محلي موزه قطع وممكن تكون جزءموزه وجزء من وش الفخده بس اكتب عليهم اهم حاجه ماتكونش فيها دهون كتير 
3 كيلو لحمه مفرومه محلي كل نص لوحده نسبه الدهون فيها 10% 
كتف خروف استرالي 
2كيلو صدور فراخ كامل
كيلو صدور فراخ متقطع بانيه
كيلو عكاوي
كيلو الا ربع كبده بانيه
كيلو خروف ضاني صعيدي مايكونش فيه دهون كتير تكون فيه نسبه 
نص دهن عجل 
مواسير للشوربه</t>
  </si>
  <si>
    <t>O1778924262695</t>
  </si>
  <si>
    <t>عاوزه فاتورتين ونفس التوصيل 
أول فاتوره اتنين كيلو لحمه بقري محلي قطع كل كيلو لوحده وكيلو برجر لحم بقري وكيلو ونص مفروم بقري محلي كل نص لوحده ونص كيلو سجق بقري 
تاني فاتوره 5 كيلو لحمه بقري محلي قطع وكيلو كبده بقري محلي كل نص لوحده وكيلو صدور فراخ كل نص لوحده</t>
  </si>
  <si>
    <t>O1778995414624</t>
  </si>
  <si>
    <t>2 كيلو كتف خروف نعيمي كامل بالعضم+ ٢ كيلو بوفتيك مدقوق بس مش رفيع أوي / ٢ كيلو لحم مفروم محلي قليل الدهن.</t>
  </si>
  <si>
    <t>O1778998886354</t>
  </si>
  <si>
    <t>كيلو لحمه موزه بلدي نصين 
كيلو لحمه فليتو بلدي نصين 
نص سجق متبل 
نص كبده اسكندراني متقطعه بلدي 
كيلو كوارع متنضفه كويس بلدي 
كيلو ستيك بلدي نصين 
نص كفتة رز متصبعه 
فرخه بلدي كامله متقطعه ٤ قطع 
نص كيلو مخ 
كيلو بانيه نصين متبل وبالبقسماط</t>
  </si>
  <si>
    <t>O1779006190574</t>
  </si>
  <si>
    <t>2 كيلو رقبه ضاني استرالي للسلق
١ كتف كامل استرالي للفرن 
١.٥ كيلو ريش ضاني 
٢ قطعه موزه بالعظم</t>
  </si>
  <si>
    <t>O1779030571253</t>
  </si>
  <si>
    <t>فاتورة رقم ١
2 كيلو كفته بلدي
2 ريش ضاني متبله
2طرب بلدي 
2بسبوسه 
فاتورة رقم ٢
كيلو لحمه بلدي حمراء من الموزه 
كيلو لحمه بلدي حمراء من الكتف 
كيلو سجق 
كيلو كبده
2مفروم بلدي 
كيلو ورقه لحمه بلدي 
ربع دهن ضاني مفروم 
فاتورة رقم ٣
كيلو لحمه قطع من الموزه 
كيلو لحمه قطع من السن 
كيلو ونص كبده 
كيلو سجق 
كيلو استيك 
كيلو لحمه مفروم  احمر 
ربع دهن ضأني مفروم
كيلو كوارع
فاتوه رقم ٤
كيلو كبده بانيه بلدي
كيلو سجق بلدي</t>
  </si>
  <si>
    <t>O1779112287420</t>
  </si>
  <si>
    <t>اثنين كيلو سجق بلدي
اثنين كيلو  كبدة عجل
اثنين كيلو منديل الطرب ضأني 
اربعة كيلو لحم موزة محلي 
واحد كيلو قلب عجل
اثنين كيلو ريش عجل
2كيلو. لحم الكولاته  “الخاص بكباب الحلة’</t>
  </si>
  <si>
    <t>O1779113320735</t>
  </si>
  <si>
    <t>٢ كيلو لحم بقري محلي موزة بالعظم كل كيلو لوحده 
وكيلو ونص بقري محلي موزة من غير عظم كل كيلو الا ربع لوحده
٢ كيلو لحم بلدي مصري حتت ناعمه ومتلبسة مع موزة بتقولو عليها عرض
اهم حاجه اللحم يكون فريش واحمر مايكونش راكن
اللحمه تكون طازة وحمرة</t>
  </si>
  <si>
    <t>O1779116805288</t>
  </si>
  <si>
    <t>اتنين كيلو كوارع 
كيلو ونص لحمه مصري موزه 
كيلو كبده متقطعه صغيره إسكندراني</t>
  </si>
  <si>
    <t>O1779133259532</t>
  </si>
  <si>
    <t>- ٣ كيلو بقري قطعيه كولاته كل ٢٥٠ جرام في كيس
- ٣ كيلو مفروم خشن كل ٢٥٠ جرام في كيس</t>
  </si>
  <si>
    <t>O1779182655053</t>
  </si>
  <si>
    <t>كيلو انتركوت مصري
كيلو بوفتيك مصري
نص مخاصي
علاقة ضاني برقي
فخدة برقي صغيرة كاملة بدون تقطيع
ضلوع برقي علي بعضها صغيرة بدون تقطيع
راس خروف برقي
نص بسبوسة مصري
نص كفتة شوى
نص مخ</t>
  </si>
  <si>
    <t>O1778181076309</t>
  </si>
  <si>
    <t>12 فراخ ابيض عرض صاحبة السعادة</t>
  </si>
  <si>
    <t>O1778181098731</t>
  </si>
  <si>
    <t>العرض الاول بطه وعدد ٢دجاج بلدى حجم معقول وزوج حمام 
العرض الاخير ٥فرد حمام  
كرتونة بيض بلدى نظيفه وصلاحيه جديده</t>
  </si>
  <si>
    <t>O1778181271965</t>
  </si>
  <si>
    <t>العرض الاول
كيلو رجول دجاج</t>
  </si>
  <si>
    <t>O1778181414953</t>
  </si>
  <si>
    <t>O1778181744529</t>
  </si>
  <si>
    <t xml:space="preserve">اي عرض من العروض الجاية بسعر ٩٩ درهم فقط🤩
*العرض الاول*
بطاية 🦆 وفرختين بلدي 🐓 وجوز حمام 🦅 
*العرض الرابع* 
٦ فرخات وزن من كيلو و١٠٠ الى كيلو و٢٠٠
</t>
  </si>
  <si>
    <t>O1778182026351</t>
  </si>
  <si>
    <t>عرض من العرض الثاني
عرض من العرض الرابع</t>
  </si>
  <si>
    <t>O1778182545115</t>
  </si>
  <si>
    <t>محتاج العرض التاني والاخير</t>
  </si>
  <si>
    <t>O1778183157479</t>
  </si>
  <si>
    <t>عاوزة 2 عرض ابيض متقطع اربع أرباع 
والخمس فرخات البلدي (2 عرض )
عرض البطة</t>
  </si>
  <si>
    <t>O1778183407458</t>
  </si>
  <si>
    <t>العرض الاول 
عدد ٢ عرض من 
بطايه ، فرختين بلدي ، جوز حمام</t>
  </si>
  <si>
    <t>O1778183649993</t>
  </si>
  <si>
    <t>2عروض فراخ بيضه 
2طبق بيض بلدى</t>
  </si>
  <si>
    <t>O1778185848851</t>
  </si>
  <si>
    <t>عرض  بطاية وفرختين بلدى وجوزين حمام
عرضين من 6 فرخات وزن كيلو ١٠٠ الى كيلو 200
عرض خمس فرد حمام</t>
  </si>
  <si>
    <t>O1778186808267</t>
  </si>
  <si>
    <t>1عرض صدور الدجاج والاجنحة والشيش 
1عرض فراخ بلدي</t>
  </si>
  <si>
    <t>O1778187572796</t>
  </si>
  <si>
    <t>العرض الرابع 
٦ فراخ بيضه وزن من ١٠٠٠ل ١٢٠٠
 عايزه  (٢) عرضيين</t>
  </si>
  <si>
    <t>O1778190770819</t>
  </si>
  <si>
    <t>العرض الاول*
بطاية 🦆 وفرختين بلدي 🐓 وجوز حمام 🦅 
العرض الرابع* 
٦ فرخات وزن من كيلو و١٠٠ الى كيلو و٢٠٠</t>
  </si>
  <si>
    <t>O1778191945607</t>
  </si>
  <si>
    <t>1 عرض الفراخ الشمورت 99
1 عرض الفراخ البيضا 99</t>
  </si>
  <si>
    <t>O1778211152450</t>
  </si>
  <si>
    <t>٢ عرض فراخ بيضاء يعني ١٢ دجاجه 
عدد ٣ كرتونه بيض بلدي</t>
  </si>
  <si>
    <t>O1778217247945</t>
  </si>
  <si>
    <t>العرض الرابع (٦ فرخات ابيض وزن ١١٠٠ ل ١٢٠٠ ) عرضين</t>
  </si>
  <si>
    <t>O1778225156399</t>
  </si>
  <si>
    <t>عرضين فراخ بيضا اللي هو ٦ ب ١٠٠
كرتونة بيض بلدي</t>
  </si>
  <si>
    <t>O1778225810295</t>
  </si>
  <si>
    <t>عرض (٥فرخات بلدي شامورت  )
عرض (٥ فرد حمام )</t>
  </si>
  <si>
    <t>O1778232513816</t>
  </si>
  <si>
    <t>عرض من العرض الأول (بطة و٢فرخة بلدي وجوز حمام) 
عرض واحد من العرض الرابع ( ٦ فرخات)</t>
  </si>
  <si>
    <t>O1778234748496</t>
  </si>
  <si>
    <t>عاوزة  عرضين من العرض الرابع  بتاع صاحبة السعادة
يعنى عاوزة عرضين من اللى هو ٦ فرخات ابيض وزن ١٢٠٠ ب ٩٩ درهم
يبقي الاجمالى لطلبي ١٢ فرخة ب ٢٠٠ درهم</t>
  </si>
  <si>
    <t>O1778243342215</t>
  </si>
  <si>
    <t>العرض الرابع عاوزه عرضين 
6 دجاجات
6 دجاجات</t>
  </si>
  <si>
    <t>O1778250702656</t>
  </si>
  <si>
    <t>عرض صاحبة السعادة 
بطة و2 بلدي و2 حمام ب ٩٩
6 فراخ فريش ب ٩٩
إجمالي 2 عروض ب 198درهم</t>
  </si>
  <si>
    <t>O1778251989862</t>
  </si>
  <si>
    <t>١ العرض الاول بطاية وفرختين بلدي وجوز حمام
١ العرض الاخير خمس فرد حمام</t>
  </si>
  <si>
    <t>O1778253883178</t>
  </si>
  <si>
    <t>6 فرخات من كيلو  _1200 الي في العرض</t>
  </si>
  <si>
    <t>O1778256967930</t>
  </si>
  <si>
    <t>العرض رقم 1بطه وجوز حمام وفرختين بلدي
العرض رقم  4. 6 فرخات بيضاء</t>
  </si>
  <si>
    <t>O1778265263394</t>
  </si>
  <si>
    <t>مطلوب العرض الاول مرتين (بطاية + ٢ فرخة بلدي + جوز حمام )*٢</t>
  </si>
  <si>
    <t>O1778307680326</t>
  </si>
  <si>
    <t>العرض الاول</t>
  </si>
  <si>
    <t>O1778315316660</t>
  </si>
  <si>
    <t>عرضين فراخ ابيض العرض ٦ فرخات عاوزه عرضين</t>
  </si>
  <si>
    <t>O1778322519589</t>
  </si>
  <si>
    <t>عوزه
عرضين فراخ بيضاء اوزن من.كيلو و100ل1200
 12 دجاجه</t>
  </si>
  <si>
    <t>O1778322573971</t>
  </si>
  <si>
    <t>عرضين من العرض الرابع
( ١٢ دجاجه ابيض)</t>
  </si>
  <si>
    <t>O1778322646884</t>
  </si>
  <si>
    <t>*العرض التاني*
خمس فرخات بلدي شامورت
العرض الثالث*
كيلو اوراك 
كيلو اجنحة 
كيلو بانيه
كيلو شيش طاووك</t>
  </si>
  <si>
    <t>O1778323220038</t>
  </si>
  <si>
    <t>عرض ٦ فرخات ب ٩٩ درهم</t>
  </si>
  <si>
    <t>O1778325049890</t>
  </si>
  <si>
    <t>العرض الأول والرابع</t>
  </si>
  <si>
    <t>O1778325191080</t>
  </si>
  <si>
    <t>عرض الرابع 
٦ فرخات بيضا</t>
  </si>
  <si>
    <t>O1778325282271</t>
  </si>
  <si>
    <t>عرضين 6 دجاج ابيضّ وزن 1100:1200
مجموع الدجاج 12
كيلو بانيه كل نصف لحاله 
كيلو صدور دجاج بدون عظم كل نصف لحاله</t>
  </si>
  <si>
    <t>O1778325910380</t>
  </si>
  <si>
    <t>العرض الرابع ست دجاج ابيضّ</t>
  </si>
  <si>
    <t>O1778329208813</t>
  </si>
  <si>
    <t>العرض الاول (بطة /فرختين بلدى / جوز حمام )
العرض الرابع ( ٦ فرخات وزن ١١٠٠:١٢٠٠)</t>
  </si>
  <si>
    <t>O1778329860608</t>
  </si>
  <si>
    <t>١ عرض بطاية وفرختين بلدي وجوز حمام 
١ عرض ٦ فرخات كيلو و ١٠٠ الى كيلو و ٢٠٠</t>
  </si>
  <si>
    <t>O1778329987418</t>
  </si>
  <si>
    <t>العرض الثاني خمس فرخات بلدي شامورت</t>
  </si>
  <si>
    <t>O1778331223587</t>
  </si>
  <si>
    <t>عرض الحمام خمس فرد حمام ب٩٩درهم 
عرض البطه وفرختين بلدي وجوز حمام</t>
  </si>
  <si>
    <t>O1778332872285</t>
  </si>
  <si>
    <t>عرض 6 فراخات 99</t>
  </si>
  <si>
    <t>O1778333731909</t>
  </si>
  <si>
    <t>لو سمحتم .محتاجة عرض فراخ بلدي 5 حبات 99 درهم 
ومحتاجة كمان عرض فراخ بيضا 6 حبات ب99 درهم</t>
  </si>
  <si>
    <t>O1778334506936</t>
  </si>
  <si>
    <t>العرض الاول
العرض التانى 
3 كيلو رجول فراخ 
كرتونة بيض بلدى</t>
  </si>
  <si>
    <t>O1778334914354</t>
  </si>
  <si>
    <t>خمس فرخات بلدي شامورت العرض 
6فرخات ابيض العرض وزن 1200</t>
  </si>
  <si>
    <t>O1778335978363</t>
  </si>
  <si>
    <t>العرض رقم ٣ كيلو اوراك كيلو اجنحه كيلو شيش كيلو بانيه
العرض رقم ٤ عدد ٦ فرخات</t>
  </si>
  <si>
    <t>O1778336379826</t>
  </si>
  <si>
    <t>عرض ال ٦ دجاجات أبيض
عرض ال ٥ دجاجات بلدي شمورت</t>
  </si>
  <si>
    <t>O1778417262766</t>
  </si>
  <si>
    <t>5  فراخ ابيض ١٢٠٠غ</t>
  </si>
  <si>
    <t>O1778433692253</t>
  </si>
  <si>
    <t>١٠ حمامات 
٢ فراخ بلدي 
١ فرخه شامورت</t>
  </si>
  <si>
    <t>O1778564548988</t>
  </si>
  <si>
    <t>5 فرخات أبيض وزن 1200 جرام، إجمالي 100 درهم 😅
دي أول مرة أطلب، يارب تكون فعلًا بالجودة اللي بسمع عنها 🙏</t>
  </si>
  <si>
    <t>O1778661451604</t>
  </si>
  <si>
    <t>فراخ 🐓 بيضاء عدد 5 وزن 1400 جرام.
فراخ 🐓 بيضاء عدد 5 وزن 900 او 1000 جرام.
3 كيلو صدور بانية بدون تقطيع و بدون عضم.
سيتم مراجعة الأوزان قبل الاستلام.</t>
  </si>
  <si>
    <t>O1778665811157</t>
  </si>
  <si>
    <t>عدد ١٠ دجاجات  وزن ١٢٠٠ 
سعر الدجاجه ٢٠ درهم 
كل دجاجه لحالها</t>
  </si>
  <si>
    <t>O1778666193700</t>
  </si>
  <si>
    <t>٦ فرخات ابيض وزن ١٢٠٠</t>
  </si>
  <si>
    <t>O1778681388739</t>
  </si>
  <si>
    <t>5 فرخات أبيضه وزن 1500-1600 
ياريت الأوزان مظبوطه لأنو المره الماضيه جت قليله كتير عن المطلوب وشكرا</t>
  </si>
  <si>
    <t>O1778692647640</t>
  </si>
  <si>
    <t>١ دجاجة (٢٣)
نص دبابيس
نص اجنحة
جوز حمام ابيض
نص شيش</t>
  </si>
  <si>
    <t>O1778692993345</t>
  </si>
  <si>
    <t>فرختين بيضة كل واحده متقسمه اربعه الواحده كيلو ونص
٢كيلو صدور فراخ مخليه من العظم
جوز حمام متنظف جاهز عالحشو</t>
  </si>
  <si>
    <t>O1778697580549</t>
  </si>
  <si>
    <t>10 فرخات ١٢٠٠ جرام 
٤ كيلو بانيه ( كل نصف كيلو في طبق)</t>
  </si>
  <si>
    <t>O1778700807625</t>
  </si>
  <si>
    <t>2 ديك عتاقي
2 دجاج ابيض 1300الي 1400
جوز حمام</t>
  </si>
  <si>
    <t>O1778702794842</t>
  </si>
  <si>
    <t>١ ك فراخ بانيه 
١ك صدور بالعظم 
نص ك حمام كداب</t>
  </si>
  <si>
    <t>O1778756232207</t>
  </si>
  <si>
    <t>كيلو صدور دجاج كاملة بدون عضم
٢ كيلو اوراك 
1 كيلو كبد دجاج بدون اوناصه، فقط كبد كل نص كيلو لوحده
فرختين ابيض وزن كيلو ونص الى كيلو ٦٠٠</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</si>
</sst>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0529157624"/>
  </numFmts>
  <fonts count="22">
    <font>
      <sz val="10.0"/>
      <color rgb="FF000000"/>
      <name val="Calibri"/>
      <scheme val="minor"/>
    </font>
    <font>
      <b/>
      <sz val="11.0"/>
      <color theme="1"/>
      <name val="Calibri"/>
    </font>
    <font>
      <b/>
      <sz val="10.0"/>
      <color theme="1"/>
      <name val="Arial"/>
    </font>
    <font>
      <b/>
      <color theme="1"/>
      <name val="Calibri"/>
      <scheme val="minor"/>
    </font>
    <font>
      <sz val="11.0"/>
      <color theme="1"/>
      <name val="Calibri"/>
    </font>
    <font>
      <u/>
      <sz val="10.0"/>
      <color rgb="FF1155CC"/>
      <name val="Arial"/>
    </font>
    <font>
      <color theme="1"/>
      <name val="Calibri"/>
      <scheme val="minor"/>
    </font>
    <font>
      <u/>
      <sz val="10.0"/>
      <color rgb="FF1155CC"/>
      <name val="Arial"/>
    </font>
    <font>
      <u/>
      <sz val="10.0"/>
      <color rgb="FF1155CC"/>
      <name val="Arial"/>
    </font>
    <font>
      <u/>
      <color rgb="FF0000FF"/>
    </font>
    <font>
      <u/>
      <sz val="11.0"/>
      <color theme="10"/>
      <name val="Calibri"/>
    </font>
    <font>
      <u/>
      <sz val="11.0"/>
      <color theme="10"/>
      <name val="Calibri"/>
    </font>
    <font>
      <u/>
      <sz val="10.0"/>
      <color rgb="FF1155CC"/>
      <name val="Arial"/>
    </font>
    <font>
      <u/>
      <sz val="10.0"/>
      <color rgb="FF1155CC"/>
      <name val="Arial"/>
    </font>
    <font>
      <u/>
      <sz val="11.0"/>
      <color theme="10"/>
      <name val="Calibri"/>
    </font>
    <font>
      <u/>
      <sz val="10.0"/>
      <color rgb="FF1155CC"/>
      <name val="Arial"/>
    </font>
    <font>
      <u/>
      <sz val="10.0"/>
      <color rgb="FF434343"/>
      <name val="Roboto"/>
    </font>
    <font>
      <u/>
      <sz val="10.0"/>
      <color rgb="FF434343"/>
      <name val="Roboto"/>
    </font>
    <font>
      <u/>
      <sz val="10.0"/>
      <color rgb="FF434343"/>
      <name val="Roboto"/>
    </font>
    <font>
      <u/>
      <sz val="11.0"/>
      <color theme="10"/>
      <name val="Calibri"/>
    </font>
    <font>
      <u/>
      <sz val="10.0"/>
      <color theme="1"/>
      <name val="Arial"/>
    </font>
    <font>
      <u/>
      <color rgb="FF0000FF"/>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2">
    <border/>
    <border>
      <left/>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49" xfId="0" applyAlignment="1" applyFont="1" applyNumberFormat="1">
      <alignment horizontal="center" vertical="center"/>
    </xf>
    <xf borderId="0" fillId="0" fontId="2" numFmtId="0" xfId="0" applyAlignment="1" applyFont="1">
      <alignment horizontal="center" readingOrder="0" shrinkToFit="0" wrapText="1"/>
    </xf>
    <xf borderId="0" fillId="0" fontId="3" numFmtId="0" xfId="0" applyAlignment="1" applyFont="1">
      <alignment horizontal="center"/>
    </xf>
    <xf borderId="0" fillId="0" fontId="3" numFmtId="0" xfId="0" applyAlignment="1" applyFont="1">
      <alignment horizontal="center" readingOrder="0"/>
    </xf>
    <xf borderId="0" fillId="0" fontId="4" numFmtId="0" xfId="0" applyAlignment="1" applyFont="1">
      <alignment horizontal="left" readingOrder="0" vertical="center"/>
    </xf>
    <xf borderId="0" fillId="0" fontId="4" numFmtId="0" xfId="0" applyAlignment="1" applyFont="1">
      <alignment horizontal="left" readingOrder="0" vertical="center"/>
    </xf>
    <xf borderId="0" fillId="0" fontId="4" numFmtId="49" xfId="0" applyAlignment="1" applyFont="1" applyNumberFormat="1">
      <alignment horizontal="left" vertical="center"/>
    </xf>
    <xf borderId="0" fillId="0" fontId="4" numFmtId="0" xfId="0" applyAlignment="1" applyFont="1">
      <alignment horizontal="right" readingOrder="0" vertical="center"/>
    </xf>
    <xf borderId="0" fillId="0" fontId="5" numFmtId="0" xfId="0" applyAlignment="1" applyFont="1">
      <alignment shrinkToFit="0" wrapText="1"/>
    </xf>
    <xf borderId="0" fillId="0" fontId="6" numFmtId="0" xfId="0" applyAlignment="1" applyFont="1">
      <alignment readingOrder="0"/>
    </xf>
    <xf borderId="0" fillId="0" fontId="4" numFmtId="49" xfId="0" applyAlignment="1" applyFont="1" applyNumberFormat="1">
      <alignment horizontal="left" readingOrder="0" vertical="center"/>
    </xf>
    <xf borderId="0" fillId="0" fontId="4" numFmtId="0" xfId="0" applyAlignment="1" applyFont="1">
      <alignment horizontal="right" readingOrder="0" vertical="center"/>
    </xf>
    <xf borderId="0" fillId="0" fontId="4" numFmtId="0" xfId="0" applyAlignment="1" applyFont="1">
      <alignment horizontal="right" readingOrder="0" vertical="center"/>
    </xf>
    <xf borderId="0" fillId="0" fontId="7" numFmtId="0" xfId="0" applyAlignment="1" applyFont="1">
      <alignment readingOrder="0" shrinkToFit="0" wrapText="1"/>
    </xf>
    <xf borderId="0" fillId="0" fontId="8" numFmtId="164" xfId="0" applyAlignment="1" applyFont="1" applyNumberFormat="1">
      <alignment readingOrder="0" shrinkToFit="0" wrapText="1"/>
    </xf>
    <xf borderId="0" fillId="0" fontId="4" numFmtId="0" xfId="0" applyAlignment="1" applyFont="1">
      <alignment horizontal="left" readingOrder="0" vertical="center"/>
    </xf>
    <xf borderId="0" fillId="0" fontId="6" numFmtId="0" xfId="0" applyAlignment="1" applyFont="1">
      <alignment readingOrder="0"/>
    </xf>
    <xf borderId="0" fillId="0" fontId="9" numFmtId="0" xfId="0" applyAlignment="1" applyFont="1">
      <alignment readingOrder="0"/>
    </xf>
    <xf borderId="0" fillId="0" fontId="10" numFmtId="0" xfId="0" applyAlignment="1" applyFont="1">
      <alignment readingOrder="0" shrinkToFit="0" wrapText="1"/>
    </xf>
    <xf borderId="0" fillId="0" fontId="11" numFmtId="164" xfId="0" applyAlignment="1" applyFont="1" applyNumberFormat="1">
      <alignment readingOrder="0" shrinkToFit="0" wrapText="1"/>
    </xf>
    <xf borderId="0" fillId="0" fontId="12" numFmtId="0" xfId="0" applyAlignment="1" applyFont="1">
      <alignment readingOrder="0" shrinkToFit="0" wrapText="1"/>
    </xf>
    <xf borderId="0" fillId="0" fontId="6" numFmtId="164" xfId="0" applyAlignment="1" applyFont="1" applyNumberFormat="1">
      <alignment readingOrder="0"/>
    </xf>
    <xf borderId="0" fillId="0" fontId="4" numFmtId="49" xfId="0" applyAlignment="1" applyFont="1" applyNumberFormat="1">
      <alignment horizontal="left" readingOrder="0" shrinkToFit="0" vertical="center" wrapText="1"/>
    </xf>
    <xf borderId="0" fillId="0" fontId="4" numFmtId="164" xfId="0" applyAlignment="1" applyFont="1" applyNumberFormat="1">
      <alignment horizontal="left" readingOrder="0" vertical="center"/>
    </xf>
    <xf borderId="0" fillId="0" fontId="4" numFmtId="0" xfId="0" applyAlignment="1" applyFont="1">
      <alignment horizontal="left" vertical="center"/>
    </xf>
    <xf borderId="0" fillId="0" fontId="6" numFmtId="0" xfId="0" applyFont="1"/>
    <xf borderId="0" fillId="0" fontId="6" numFmtId="49" xfId="0" applyAlignment="1" applyFont="1" applyNumberFormat="1">
      <alignment readingOrder="0"/>
    </xf>
    <xf borderId="1" fillId="2" fontId="13" numFmtId="0" xfId="0" applyAlignment="1" applyBorder="1" applyFill="1" applyFont="1">
      <alignment readingOrder="0" shrinkToFit="0" wrapText="1"/>
    </xf>
    <xf borderId="1" fillId="3" fontId="14" numFmtId="0" xfId="0" applyAlignment="1" applyBorder="1" applyFill="1" applyFont="1">
      <alignment readingOrder="0" shrinkToFit="0" wrapText="1"/>
    </xf>
    <xf borderId="1" fillId="3" fontId="15" numFmtId="0" xfId="0" applyAlignment="1" applyBorder="1" applyFont="1">
      <alignment readingOrder="0" shrinkToFit="0" wrapText="1"/>
    </xf>
    <xf borderId="1" fillId="2" fontId="16" numFmtId="0" xfId="0" applyAlignment="1" applyBorder="1" applyFont="1">
      <alignment horizontal="right" readingOrder="0" shrinkToFit="0" wrapText="1"/>
    </xf>
    <xf borderId="1" fillId="3" fontId="17" numFmtId="0" xfId="0" applyAlignment="1" applyBorder="1" applyFont="1">
      <alignment readingOrder="0" shrinkToFit="0" wrapText="1"/>
    </xf>
    <xf borderId="1" fillId="2" fontId="18" numFmtId="0" xfId="0" applyAlignment="1" applyBorder="1" applyFont="1">
      <alignment readingOrder="0" shrinkToFit="0" wrapText="1"/>
    </xf>
    <xf borderId="0" fillId="0" fontId="19" numFmtId="0" xfId="0" applyAlignment="1" applyFont="1">
      <alignment readingOrder="0" vertical="center"/>
    </xf>
    <xf borderId="0" fillId="0" fontId="20" numFmtId="0" xfId="0" applyAlignment="1" applyFont="1">
      <alignment readingOrder="0" shrinkToFit="0" wrapText="1"/>
    </xf>
    <xf borderId="0" fillId="0" fontId="4" numFmtId="0" xfId="0" applyAlignment="1" applyFont="1">
      <alignment horizontal="right" vertical="center"/>
    </xf>
    <xf borderId="0" fillId="0" fontId="3" numFmtId="0" xfId="0" applyFont="1"/>
    <xf borderId="0" fillId="0" fontId="3" numFmtId="0" xfId="0" applyAlignment="1" applyFont="1">
      <alignment readingOrder="0"/>
    </xf>
    <xf borderId="0" fillId="0" fontId="3" numFmtId="49" xfId="0" applyAlignment="1" applyFont="1" applyNumberFormat="1">
      <alignment readingOrder="0"/>
    </xf>
    <xf borderId="0" fillId="0" fontId="6" numFmtId="49" xfId="0" applyFont="1" applyNumberFormat="1"/>
    <xf borderId="0" fillId="0" fontId="6" numFmtId="0" xfId="0" applyAlignment="1" applyFont="1">
      <alignment readingOrder="0"/>
    </xf>
    <xf borderId="0" fillId="0" fontId="6" numFmtId="0" xfId="0" applyFont="1"/>
    <xf borderId="0" fillId="0" fontId="6" numFmtId="49" xfId="0" applyAlignment="1" applyFont="1" applyNumberFormat="1">
      <alignment readingOrder="0"/>
    </xf>
    <xf borderId="0" fillId="0" fontId="21" numFmtId="0" xfId="0" applyFont="1"/>
    <xf borderId="0" fillId="0" fontId="6" numFmtId="165" xfId="0" applyAlignment="1" applyFont="1" applyNumberFormat="1">
      <alignment readingOrder="0"/>
    </xf>
    <xf borderId="0" fillId="0" fontId="6" numFmtId="0" xfId="0" applyFont="1"/>
  </cellXfs>
  <cellStyles count="1">
    <cellStyle xfId="0" name="Normal" builtinId="0"/>
  </cellStyles>
  <dxfs count="3">
    <dxf>
      <font/>
      <fill>
        <patternFill patternType="solid">
          <fgColor rgb="FFB7E1CD"/>
          <bgColor rgb="FFB7E1CD"/>
        </patternFill>
      </fill>
      <border/>
    </dxf>
    <dxf>
      <font/>
      <fill>
        <patternFill patternType="solid">
          <fgColor rgb="FFCC0000"/>
          <bgColor rgb="FFCC00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maps?q=24.4836803,54.3751722" TargetMode="External"/><Relationship Id="rId190" Type="http://schemas.openxmlformats.org/officeDocument/2006/relationships/hyperlink" Target="https://www.google.com/maps?q=24.449356895478534,54.60404634475709" TargetMode="External"/><Relationship Id="rId42" Type="http://schemas.openxmlformats.org/officeDocument/2006/relationships/hyperlink" Target="https://www.google.com/maps?q=24.3551987,54.6028354" TargetMode="External"/><Relationship Id="rId41" Type="http://schemas.openxmlformats.org/officeDocument/2006/relationships/hyperlink" Target="https://www.google.com/maps?q=24.499089151891017,54.40421819686892" TargetMode="External"/><Relationship Id="rId44" Type="http://schemas.openxmlformats.org/officeDocument/2006/relationships/hyperlink" Target="https://www.google.com/maps?q=24.362883090547797,54.7518702420522" TargetMode="External"/><Relationship Id="rId194" Type="http://schemas.openxmlformats.org/officeDocument/2006/relationships/hyperlink" Target="https://www.google.com/maps?q=24.49899559076929,54.37477022409441" TargetMode="External"/><Relationship Id="rId43" Type="http://schemas.openxmlformats.org/officeDocument/2006/relationships/hyperlink" Target="https://www.google.com/maps?q=24.48798367238742,54.35744035989047" TargetMode="External"/><Relationship Id="rId193" Type="http://schemas.openxmlformats.org/officeDocument/2006/relationships/hyperlink" Target="https://www.google.com/maps?q=24.4430412,54.4178762" TargetMode="External"/><Relationship Id="rId46" Type="http://schemas.openxmlformats.org/officeDocument/2006/relationships/hyperlink" Target="https://www.google.com/maps?q=24.468888466362223,54.33952023053673" TargetMode="External"/><Relationship Id="rId192" Type="http://schemas.openxmlformats.org/officeDocument/2006/relationships/hyperlink" Target="https://www.google.com/maps?q=24.4430412,54.4178762" TargetMode="External"/><Relationship Id="rId45" Type="http://schemas.openxmlformats.org/officeDocument/2006/relationships/hyperlink" Target="https://www.google.com/maps?q=24.466475281282403,54.362341285432215" TargetMode="External"/><Relationship Id="rId191" Type="http://schemas.openxmlformats.org/officeDocument/2006/relationships/hyperlink" Target="https://www.google.com/maps?q=24.449356895478534,54.60404634475709" TargetMode="External"/><Relationship Id="rId48" Type="http://schemas.openxmlformats.org/officeDocument/2006/relationships/hyperlink" Target="https://www.google.com/maps?q=24.478422657435384,54.3700110912323" TargetMode="External"/><Relationship Id="rId187" Type="http://schemas.openxmlformats.org/officeDocument/2006/relationships/hyperlink" Target="https://www.google.com/maps?q=24.488377867585715,54.367009850610614" TargetMode="External"/><Relationship Id="rId47" Type="http://schemas.openxmlformats.org/officeDocument/2006/relationships/hyperlink" Target="https://www.google.com/maps?q=24.464149833196682,54.37775618131224" TargetMode="External"/><Relationship Id="rId186" Type="http://schemas.openxmlformats.org/officeDocument/2006/relationships/hyperlink" Target="https://www.google.com/maps?q=24.413685,54.495136" TargetMode="External"/><Relationship Id="rId185" Type="http://schemas.openxmlformats.org/officeDocument/2006/relationships/hyperlink" Target="https://www.google.com/maps?q=24.380355,54.6460511" TargetMode="External"/><Relationship Id="rId49" Type="http://schemas.openxmlformats.org/officeDocument/2006/relationships/hyperlink" Target="https://www.google.com/maps?q=24.4735972,54.3669136" TargetMode="External"/><Relationship Id="rId184" Type="http://schemas.openxmlformats.org/officeDocument/2006/relationships/hyperlink" Target="https://www.google.com/maps?q=24.380355,54.6460511" TargetMode="External"/><Relationship Id="rId189" Type="http://schemas.openxmlformats.org/officeDocument/2006/relationships/hyperlink" Target="https://www.google.com/maps?q=24.488371589473537,54.367044254513516" TargetMode="External"/><Relationship Id="rId188" Type="http://schemas.openxmlformats.org/officeDocument/2006/relationships/hyperlink" Target="https://www.google.com/maps?q=24.49321174621582,54.3942756652832" TargetMode="External"/><Relationship Id="rId31" Type="http://schemas.openxmlformats.org/officeDocument/2006/relationships/hyperlink" Target="https://www.google.com/maps?q=24.382938211124948,54.70071601923413" TargetMode="External"/><Relationship Id="rId30" Type="http://schemas.openxmlformats.org/officeDocument/2006/relationships/hyperlink" Target="https://www.google.com/maps?q=24.4341635,54.4048845" TargetMode="External"/><Relationship Id="rId33" Type="http://schemas.openxmlformats.org/officeDocument/2006/relationships/hyperlink" Target="https://www.google.com/maps?q=24.49165448678363,54.39491093158724" TargetMode="External"/><Relationship Id="rId183" Type="http://schemas.openxmlformats.org/officeDocument/2006/relationships/hyperlink" Target="https://www.google.com/maps?q=24.470844819641226,54.347537898025884" TargetMode="External"/><Relationship Id="rId32" Type="http://schemas.openxmlformats.org/officeDocument/2006/relationships/hyperlink" Target="https://www.google.com/maps?q=24.492804130503803,54.39276158804205" TargetMode="External"/><Relationship Id="rId182" Type="http://schemas.openxmlformats.org/officeDocument/2006/relationships/hyperlink" Target="https://www.google.com/maps?q=24.470844819641226,54.347537898025884" TargetMode="External"/><Relationship Id="rId35" Type="http://schemas.openxmlformats.org/officeDocument/2006/relationships/hyperlink" Target="https://www.google.com/maps?q=25.3909971,55.4807858" TargetMode="External"/><Relationship Id="rId181" Type="http://schemas.openxmlformats.org/officeDocument/2006/relationships/hyperlink" Target="https://www.google.com/maps?q=24.4564229,54.3908429" TargetMode="External"/><Relationship Id="rId34" Type="http://schemas.openxmlformats.org/officeDocument/2006/relationships/hyperlink" Target="https://www.google.com/maps?q=24.3849525,54.6564186" TargetMode="External"/><Relationship Id="rId180" Type="http://schemas.openxmlformats.org/officeDocument/2006/relationships/hyperlink" Target="https://www.google.com/maps?q=24.4564229,54.3908429" TargetMode="External"/><Relationship Id="rId37" Type="http://schemas.openxmlformats.org/officeDocument/2006/relationships/hyperlink" Target="https://www.google.com/maps?q=24.43867719229777,54.40360033280079" TargetMode="External"/><Relationship Id="rId176" Type="http://schemas.openxmlformats.org/officeDocument/2006/relationships/hyperlink" Target="https://www.google.com/maps?q=24.4595001,54.381497" TargetMode="External"/><Relationship Id="rId36" Type="http://schemas.openxmlformats.org/officeDocument/2006/relationships/hyperlink" Target="https://www.google.com/maps?q=25.3955488,55.4840595" TargetMode="External"/><Relationship Id="rId175" Type="http://schemas.openxmlformats.org/officeDocument/2006/relationships/hyperlink" Target="https://www.google.com/maps?q=24.31905160812305,54.614734315080874" TargetMode="External"/><Relationship Id="rId39" Type="http://schemas.openxmlformats.org/officeDocument/2006/relationships/hyperlink" Target="https://www.google.com/maps?q=24.485919372562307,54.35988436512351" TargetMode="External"/><Relationship Id="rId174" Type="http://schemas.openxmlformats.org/officeDocument/2006/relationships/hyperlink" Target="https://www.google.com/maps?q=24.31905160812305,54.614734315080874" TargetMode="External"/><Relationship Id="rId38" Type="http://schemas.openxmlformats.org/officeDocument/2006/relationships/hyperlink" Target="https://www.google.com/maps?q=24.300528295751207,54.66048083455748" TargetMode="External"/><Relationship Id="rId173" Type="http://schemas.openxmlformats.org/officeDocument/2006/relationships/hyperlink" Target="https://www.google.com/maps?q=24.4311324,54.404712" TargetMode="External"/><Relationship Id="rId179" Type="http://schemas.openxmlformats.org/officeDocument/2006/relationships/hyperlink" Target="https://www.google.com/maps?q=24.4018107,54.519146" TargetMode="External"/><Relationship Id="rId178" Type="http://schemas.openxmlformats.org/officeDocument/2006/relationships/hyperlink" Target="https://www.google.com/maps?q=24.4018107,54.519146" TargetMode="External"/><Relationship Id="rId177" Type="http://schemas.openxmlformats.org/officeDocument/2006/relationships/hyperlink" Target="https://www.google.com/maps?q=24.4595001,54.381497" TargetMode="External"/><Relationship Id="rId20" Type="http://schemas.openxmlformats.org/officeDocument/2006/relationships/hyperlink" Target="https://www.google.com/maps?q=24.39945190748372,54.51725059485866" TargetMode="External"/><Relationship Id="rId22" Type="http://schemas.openxmlformats.org/officeDocument/2006/relationships/hyperlink" Target="https://www.google.com/maps?q=24.474705582824225,54.35060262680053" TargetMode="External"/><Relationship Id="rId21" Type="http://schemas.openxmlformats.org/officeDocument/2006/relationships/hyperlink" Target="https://www.google.com/maps?q=24.501827903456647,54.37353646634361" TargetMode="External"/><Relationship Id="rId24" Type="http://schemas.openxmlformats.org/officeDocument/2006/relationships/hyperlink" Target="https://www.google.com/maps?q=24.2942413364381,54.625878274418945" TargetMode="External"/><Relationship Id="rId23" Type="http://schemas.openxmlformats.org/officeDocument/2006/relationships/hyperlink" Target="https://www.google.com/maps?q=24.3776618,54.7038044" TargetMode="External"/><Relationship Id="rId26" Type="http://schemas.openxmlformats.org/officeDocument/2006/relationships/hyperlink" Target="https://www.google.com/maps?q=24.3869237,54.7153942" TargetMode="External"/><Relationship Id="rId25" Type="http://schemas.openxmlformats.org/officeDocument/2006/relationships/hyperlink" Target="https://www.google.com/maps?q=24.31961788714769,54.615672826003" TargetMode="External"/><Relationship Id="rId28" Type="http://schemas.openxmlformats.org/officeDocument/2006/relationships/hyperlink" Target="https://www.google.com/maps?q=24.374748317474157,54.629622589779984" TargetMode="External"/><Relationship Id="rId27" Type="http://schemas.openxmlformats.org/officeDocument/2006/relationships/hyperlink" Target="https://www.google.com/maps?q=24.4604924,54.3607518" TargetMode="External"/><Relationship Id="rId29" Type="http://schemas.openxmlformats.org/officeDocument/2006/relationships/hyperlink" Target="https://www.google.com/maps?q=24.546609196106413,54.63363647460938" TargetMode="External"/><Relationship Id="rId11" Type="http://schemas.openxmlformats.org/officeDocument/2006/relationships/hyperlink" Target="https://www.google.com/maps?q=24.49400590864592,54.40334300908227" TargetMode="External"/><Relationship Id="rId10" Type="http://schemas.openxmlformats.org/officeDocument/2006/relationships/hyperlink" Target="https://www.google.com/maps?q=24.4886349,54.367739" TargetMode="External"/><Relationship Id="rId13" Type="http://schemas.openxmlformats.org/officeDocument/2006/relationships/hyperlink" Target="https://www.google.com/maps?q=24.475874096409036,54.35152796896546" TargetMode="External"/><Relationship Id="rId12" Type="http://schemas.openxmlformats.org/officeDocument/2006/relationships/hyperlink" Target="https://www.google.com/maps?q=24.4059824,54.5766658" TargetMode="External"/><Relationship Id="rId15" Type="http://schemas.openxmlformats.org/officeDocument/2006/relationships/hyperlink" Target="https://www.google.com/maps?q=24.420550506051583,54.46312538079711" TargetMode="External"/><Relationship Id="rId198" Type="http://schemas.openxmlformats.org/officeDocument/2006/relationships/hyperlink" Target="https://www.google.com/maps?q=25.0653548,55.2354206" TargetMode="External"/><Relationship Id="rId14" Type="http://schemas.openxmlformats.org/officeDocument/2006/relationships/hyperlink" Target="https://www.google.com/maps?q=24.420550506051583,54.46312538079711" TargetMode="External"/><Relationship Id="rId197" Type="http://schemas.openxmlformats.org/officeDocument/2006/relationships/hyperlink" Target="https://www.google.com/maps?q=24.476906066431106,54.367972972393915" TargetMode="External"/><Relationship Id="rId17" Type="http://schemas.openxmlformats.org/officeDocument/2006/relationships/hyperlink" Target="https://www.google.com/maps?q=24.4709703,54.348119" TargetMode="External"/><Relationship Id="rId196" Type="http://schemas.openxmlformats.org/officeDocument/2006/relationships/hyperlink" Target="https://www.google.com/maps?q=24.476906066431106,54.367972972393915" TargetMode="External"/><Relationship Id="rId16" Type="http://schemas.openxmlformats.org/officeDocument/2006/relationships/hyperlink" Target="https://www.google.com/maps?q=24.4839715,54.3737652" TargetMode="External"/><Relationship Id="rId195" Type="http://schemas.openxmlformats.org/officeDocument/2006/relationships/hyperlink" Target="https://www.google.com/maps?q=24.49899559076929,54.37477022409441" TargetMode="External"/><Relationship Id="rId19" Type="http://schemas.openxmlformats.org/officeDocument/2006/relationships/hyperlink" Target="https://www.google.com/maps?q=24.491903455104953,54.3945336341858" TargetMode="External"/><Relationship Id="rId18" Type="http://schemas.openxmlformats.org/officeDocument/2006/relationships/hyperlink" Target="https://www.google.com/maps?q=24.30272614252692,54.665250525619385" TargetMode="External"/><Relationship Id="rId199" Type="http://schemas.openxmlformats.org/officeDocument/2006/relationships/hyperlink" Target="https://www.google.com/maps?q=25.0653548,55.2354206" TargetMode="External"/><Relationship Id="rId84" Type="http://schemas.openxmlformats.org/officeDocument/2006/relationships/hyperlink" Target="https://www.google.com/maps?q=24.284021377563477,54.66059875488281" TargetMode="External"/><Relationship Id="rId83" Type="http://schemas.openxmlformats.org/officeDocument/2006/relationships/hyperlink" Target="https://www.google.com/maps?q=24.429510607168442,54.417650946405594" TargetMode="External"/><Relationship Id="rId86" Type="http://schemas.openxmlformats.org/officeDocument/2006/relationships/hyperlink" Target="https://www.google.com/maps?q=24.402793436039975,54.511582141040186" TargetMode="External"/><Relationship Id="rId85" Type="http://schemas.openxmlformats.org/officeDocument/2006/relationships/hyperlink" Target="https://www.google.com/maps?q=24.457252856682956,54.31850373543207" TargetMode="External"/><Relationship Id="rId88" Type="http://schemas.openxmlformats.org/officeDocument/2006/relationships/hyperlink" Target="https://www.google.com/maps?q=24.4850267,54.3751204" TargetMode="External"/><Relationship Id="rId150" Type="http://schemas.openxmlformats.org/officeDocument/2006/relationships/hyperlink" Target="https://www.google.com/maps?q=24.477120717348615,54.3545687198639" TargetMode="External"/><Relationship Id="rId271" Type="http://schemas.openxmlformats.org/officeDocument/2006/relationships/hyperlink" Target="https://www.google.com/maps?q=24.488334630270465,54.36703448307686" TargetMode="External"/><Relationship Id="rId87" Type="http://schemas.openxmlformats.org/officeDocument/2006/relationships/hyperlink" Target="https://www.google.com/maps?q=24.366879007601142,54.75577354431153" TargetMode="External"/><Relationship Id="rId270" Type="http://schemas.openxmlformats.org/officeDocument/2006/relationships/hyperlink" Target="https://www.google.com/maps?q=24.4800644,54.3507385" TargetMode="External"/><Relationship Id="rId89" Type="http://schemas.openxmlformats.org/officeDocument/2006/relationships/hyperlink" Target="https://www.google.com/maps?q=24.438106862348622,54.44236633645711" TargetMode="External"/><Relationship Id="rId80" Type="http://schemas.openxmlformats.org/officeDocument/2006/relationships/hyperlink" Target="https://www.google.com/maps?q=24.462725234516206,54.382288793354874" TargetMode="External"/><Relationship Id="rId82" Type="http://schemas.openxmlformats.org/officeDocument/2006/relationships/hyperlink" Target="https://www.google.com/maps?q=24.5490176,54.6742887" TargetMode="External"/><Relationship Id="rId81" Type="http://schemas.openxmlformats.org/officeDocument/2006/relationships/hyperlink" Target="https://www.google.com/maps?q=24.47131165461526,54.34203693592048" TargetMode="External"/><Relationship Id="rId1" Type="http://schemas.openxmlformats.org/officeDocument/2006/relationships/hyperlink" Target="https://www.google.com/maps?q=24.488376387234172,54.36703744083892" TargetMode="External"/><Relationship Id="rId2" Type="http://schemas.openxmlformats.org/officeDocument/2006/relationships/hyperlink" Target="https://www.google.com/maps?q=24.511217337965643,54.40646767616272" TargetMode="External"/><Relationship Id="rId3" Type="http://schemas.openxmlformats.org/officeDocument/2006/relationships/hyperlink" Target="https://www.google.com/maps?q=24.396056135766734,54.5660779698686" TargetMode="External"/><Relationship Id="rId149" Type="http://schemas.openxmlformats.org/officeDocument/2006/relationships/hyperlink" Target="https://www.google.com/maps?q=24.478768124666736,54.3643088168759" TargetMode="External"/><Relationship Id="rId4" Type="http://schemas.openxmlformats.org/officeDocument/2006/relationships/hyperlink" Target="https://www.google.com/maps?q=24.48040447704474,54.38423241719683" TargetMode="External"/><Relationship Id="rId148" Type="http://schemas.openxmlformats.org/officeDocument/2006/relationships/hyperlink" Target="https://www.google.com/maps?q=24.35254267528197,54.69258984804956" TargetMode="External"/><Relationship Id="rId269" Type="http://schemas.openxmlformats.org/officeDocument/2006/relationships/hyperlink" Target="https://www.google.com/maps?q=24.384909003215572,54.65625488128288" TargetMode="External"/><Relationship Id="rId9" Type="http://schemas.openxmlformats.org/officeDocument/2006/relationships/hyperlink" Target="https://www.google.com/maps?q=24.4904815,54.3553056" TargetMode="External"/><Relationship Id="rId143" Type="http://schemas.openxmlformats.org/officeDocument/2006/relationships/hyperlink" Target="https://www.google.com/maps?q=24.4941896,54.3814637" TargetMode="External"/><Relationship Id="rId264" Type="http://schemas.openxmlformats.org/officeDocument/2006/relationships/hyperlink" Target="https://www.google.com/maps?q=24.498371,54.4051157" TargetMode="External"/><Relationship Id="rId142" Type="http://schemas.openxmlformats.org/officeDocument/2006/relationships/hyperlink" Target="https://www.google.com/maps?q=24.4470586,54.3894177" TargetMode="External"/><Relationship Id="rId263" Type="http://schemas.openxmlformats.org/officeDocument/2006/relationships/hyperlink" Target="https://www.google.com/maps?q=24.43210526175639,54.43378157824769" TargetMode="External"/><Relationship Id="rId141" Type="http://schemas.openxmlformats.org/officeDocument/2006/relationships/hyperlink" Target="https://www.google.com/maps?q=24.43063589310395,54.43506326981162" TargetMode="External"/><Relationship Id="rId262" Type="http://schemas.openxmlformats.org/officeDocument/2006/relationships/hyperlink" Target="https://www.google.com/maps?q=24.43210526175639,54.43378157824769" TargetMode="External"/><Relationship Id="rId140" Type="http://schemas.openxmlformats.org/officeDocument/2006/relationships/hyperlink" Target="https://www.google.com/maps?q=24.443651017632494,54.59036286828321" TargetMode="External"/><Relationship Id="rId261" Type="http://schemas.openxmlformats.org/officeDocument/2006/relationships/hyperlink" Target="https://www.google.com/maps?q=24.478335711277328,54.35318775443497" TargetMode="External"/><Relationship Id="rId5" Type="http://schemas.openxmlformats.org/officeDocument/2006/relationships/hyperlink" Target="https://www.google.com/maps?q=24.298819,54.6298218" TargetMode="External"/><Relationship Id="rId147" Type="http://schemas.openxmlformats.org/officeDocument/2006/relationships/hyperlink" Target="https://www.google.com/maps?q=24.360813474766438,54.642773217653065" TargetMode="External"/><Relationship Id="rId268" Type="http://schemas.openxmlformats.org/officeDocument/2006/relationships/hyperlink" Target="https://www.google.com/maps?q=24.384909003215572,54.65625488128288" TargetMode="External"/><Relationship Id="rId6" Type="http://schemas.openxmlformats.org/officeDocument/2006/relationships/hyperlink" Target="https://www.google.com/maps?q=24.298819,54.6298218" TargetMode="External"/><Relationship Id="rId146" Type="http://schemas.openxmlformats.org/officeDocument/2006/relationships/hyperlink" Target="https://www.google.com/maps?q=24.47106409239696,54.381721370928126" TargetMode="External"/><Relationship Id="rId267" Type="http://schemas.openxmlformats.org/officeDocument/2006/relationships/hyperlink" Target="https://www.google.com/maps?q=24.4883665432991,54.36692658190457" TargetMode="External"/><Relationship Id="rId7" Type="http://schemas.openxmlformats.org/officeDocument/2006/relationships/hyperlink" Target="https://www.google.com/maps?q=24.3810557,54.6477616" TargetMode="External"/><Relationship Id="rId145" Type="http://schemas.openxmlformats.org/officeDocument/2006/relationships/hyperlink" Target="https://www.google.com/maps?q=24.3974839714766,54.559356103338686" TargetMode="External"/><Relationship Id="rId266" Type="http://schemas.openxmlformats.org/officeDocument/2006/relationships/hyperlink" Target="https://www.google.com/maps?q=24.4949818,54.3732376" TargetMode="External"/><Relationship Id="rId8" Type="http://schemas.openxmlformats.org/officeDocument/2006/relationships/hyperlink" Target="https://www.google.com/maps?q=24.382185,54.6476835" TargetMode="External"/><Relationship Id="rId144" Type="http://schemas.openxmlformats.org/officeDocument/2006/relationships/hyperlink" Target="https://www.google.com/maps?q=24.51157740485651,54.406181647508646" TargetMode="External"/><Relationship Id="rId265" Type="http://schemas.openxmlformats.org/officeDocument/2006/relationships/hyperlink" Target="https://www.google.com/maps?q=24.498371,54.4051157" TargetMode="External"/><Relationship Id="rId73" Type="http://schemas.openxmlformats.org/officeDocument/2006/relationships/hyperlink" Target="https://www.google.com/maps?q=24.318532943725586,54.537132263183594" TargetMode="External"/><Relationship Id="rId72" Type="http://schemas.openxmlformats.org/officeDocument/2006/relationships/hyperlink" Target="https://www.google.com/maps?q=24.44385204922594,54.61288605394732" TargetMode="External"/><Relationship Id="rId75" Type="http://schemas.openxmlformats.org/officeDocument/2006/relationships/hyperlink" Target="https://www.google.com/maps?q=24.496540069580078,54.408409118652344" TargetMode="External"/><Relationship Id="rId74" Type="http://schemas.openxmlformats.org/officeDocument/2006/relationships/hyperlink" Target="https://www.google.com/maps?q=24.536588668823242,54.68614196777344" TargetMode="External"/><Relationship Id="rId77" Type="http://schemas.openxmlformats.org/officeDocument/2006/relationships/hyperlink" Target="https://www.google.com/maps?q=24.463097361118965,54.350282867429875" TargetMode="External"/><Relationship Id="rId260" Type="http://schemas.openxmlformats.org/officeDocument/2006/relationships/hyperlink" Target="https://www.google.com/maps?q=24.478335711277328,54.35318775443497" TargetMode="External"/><Relationship Id="rId76" Type="http://schemas.openxmlformats.org/officeDocument/2006/relationships/hyperlink" Target="https://www.google.com/maps?q=24.489546362342328,54.35587070993883" TargetMode="External"/><Relationship Id="rId79" Type="http://schemas.openxmlformats.org/officeDocument/2006/relationships/hyperlink" Target="https://www.google.com/maps?q=24.4366151,54.6181868" TargetMode="External"/><Relationship Id="rId78" Type="http://schemas.openxmlformats.org/officeDocument/2006/relationships/hyperlink" Target="https://www.google.com/maps?q=24.310261,54.539455" TargetMode="External"/><Relationship Id="rId71" Type="http://schemas.openxmlformats.org/officeDocument/2006/relationships/hyperlink" Target="https://www.google.com/maps?q=24.346395900789,54.64706009484143" TargetMode="External"/><Relationship Id="rId70" Type="http://schemas.openxmlformats.org/officeDocument/2006/relationships/hyperlink" Target="https://www.google.com/maps?q=24.481979370117188,54.350242614746094" TargetMode="External"/><Relationship Id="rId139" Type="http://schemas.openxmlformats.org/officeDocument/2006/relationships/hyperlink" Target="https://www.google.com/maps?q=24.338799,54.739096" TargetMode="External"/><Relationship Id="rId138" Type="http://schemas.openxmlformats.org/officeDocument/2006/relationships/hyperlink" Target="https://www.google.com/maps?q=24.4470366,54.7165587" TargetMode="External"/><Relationship Id="rId259" Type="http://schemas.openxmlformats.org/officeDocument/2006/relationships/hyperlink" Target="https://www.google.com/maps?q=24.4747951,54.3521905" TargetMode="External"/><Relationship Id="rId137" Type="http://schemas.openxmlformats.org/officeDocument/2006/relationships/hyperlink" Target="https://www.google.com/maps?q=24.4632274,54.3833146" TargetMode="External"/><Relationship Id="rId258" Type="http://schemas.openxmlformats.org/officeDocument/2006/relationships/hyperlink" Target="https://www.google.com/maps?q=24.4747951,54.3521905" TargetMode="External"/><Relationship Id="rId132" Type="http://schemas.openxmlformats.org/officeDocument/2006/relationships/hyperlink" Target="https://www.google.com/maps?q=24.4750978,54.3835569" TargetMode="External"/><Relationship Id="rId253" Type="http://schemas.openxmlformats.org/officeDocument/2006/relationships/hyperlink" Target="https://www.google.com/maps?q=24.467564530656038,54.37450985494158" TargetMode="External"/><Relationship Id="rId131" Type="http://schemas.openxmlformats.org/officeDocument/2006/relationships/hyperlink" Target="https://www.google.com/maps?q=24.448035114805602,54.607639415189624" TargetMode="External"/><Relationship Id="rId252" Type="http://schemas.openxmlformats.org/officeDocument/2006/relationships/hyperlink" Target="https://www.google.com/maps?q=24.467564530656038,54.37450985494158" TargetMode="External"/><Relationship Id="rId130" Type="http://schemas.openxmlformats.org/officeDocument/2006/relationships/hyperlink" Target="https://www.google.com/maps?q=24.44315019038772,54.42298411154397" TargetMode="External"/><Relationship Id="rId251" Type="http://schemas.openxmlformats.org/officeDocument/2006/relationships/hyperlink" Target="https://www.google.com/maps?q=24.405996821373577,54.517312166606" TargetMode="External"/><Relationship Id="rId250" Type="http://schemas.openxmlformats.org/officeDocument/2006/relationships/hyperlink" Target="https://www.google.com/maps?q=24.405996821373577,54.517312166606" TargetMode="External"/><Relationship Id="rId136" Type="http://schemas.openxmlformats.org/officeDocument/2006/relationships/hyperlink" Target="https://www.google.com/maps?q=24.463177,54.3833963" TargetMode="External"/><Relationship Id="rId257" Type="http://schemas.openxmlformats.org/officeDocument/2006/relationships/hyperlink" Target="https://www.google.com/maps?q=24.470613,54.3799986" TargetMode="External"/><Relationship Id="rId135" Type="http://schemas.openxmlformats.org/officeDocument/2006/relationships/hyperlink" Target="https://www.google.com/maps?q=24.47534554101265,54.351213039110156" TargetMode="External"/><Relationship Id="rId256" Type="http://schemas.openxmlformats.org/officeDocument/2006/relationships/hyperlink" Target="https://www.google.com/maps?q=24.470613,54.3799986" TargetMode="External"/><Relationship Id="rId134" Type="http://schemas.openxmlformats.org/officeDocument/2006/relationships/hyperlink" Target="https://www.google.com/maps?q=24.46786117324894,54.37957035904881" TargetMode="External"/><Relationship Id="rId255" Type="http://schemas.openxmlformats.org/officeDocument/2006/relationships/hyperlink" Target="https://www.google.com/maps?q=24.4908791,54.3581597" TargetMode="External"/><Relationship Id="rId133" Type="http://schemas.openxmlformats.org/officeDocument/2006/relationships/hyperlink" Target="https://www.google.com/maps?q=24.4855763,54.4040577" TargetMode="External"/><Relationship Id="rId254" Type="http://schemas.openxmlformats.org/officeDocument/2006/relationships/hyperlink" Target="https://www.google.com/maps?q=24.4908791,54.3581597" TargetMode="External"/><Relationship Id="rId62" Type="http://schemas.openxmlformats.org/officeDocument/2006/relationships/hyperlink" Target="https://www.google.com/maps?q=24.4883489,54.3671376" TargetMode="External"/><Relationship Id="rId61" Type="http://schemas.openxmlformats.org/officeDocument/2006/relationships/hyperlink" Target="https://www.google.com/maps?q=24.490637828966232,54.355632402828284" TargetMode="External"/><Relationship Id="rId64" Type="http://schemas.openxmlformats.org/officeDocument/2006/relationships/hyperlink" Target="https://www.google.com/maps?q=24.408725875576238,54.56453676650623" TargetMode="External"/><Relationship Id="rId63" Type="http://schemas.openxmlformats.org/officeDocument/2006/relationships/hyperlink" Target="https://www.google.com/maps?q=24.470750299111618,54.341435270625304" TargetMode="External"/><Relationship Id="rId66" Type="http://schemas.openxmlformats.org/officeDocument/2006/relationships/hyperlink" Target="https://www.google.com/maps?q=24.385049893635465,54.74274156267586" TargetMode="External"/><Relationship Id="rId172" Type="http://schemas.openxmlformats.org/officeDocument/2006/relationships/hyperlink" Target="https://www.google.com/maps?q=24.489808806913402,54.379773574784124" TargetMode="External"/><Relationship Id="rId65" Type="http://schemas.openxmlformats.org/officeDocument/2006/relationships/hyperlink" Target="https://www.google.com/maps?q=24.5027156,54.3773946" TargetMode="External"/><Relationship Id="rId171" Type="http://schemas.openxmlformats.org/officeDocument/2006/relationships/hyperlink" Target="https://www.google.com/maps?q=24.3795509,54.6431626" TargetMode="External"/><Relationship Id="rId68" Type="http://schemas.openxmlformats.org/officeDocument/2006/relationships/hyperlink" Target="https://www.google.com/maps?q=24.45891040212807,54.38068012411437" TargetMode="External"/><Relationship Id="rId170" Type="http://schemas.openxmlformats.org/officeDocument/2006/relationships/hyperlink" Target="https://www.google.com/maps?q=24.3795509,54.6431626" TargetMode="External"/><Relationship Id="rId67" Type="http://schemas.openxmlformats.org/officeDocument/2006/relationships/hyperlink" Target="https://www.google.com/maps?q=24.536654546349943,54.68608564956241" TargetMode="External"/><Relationship Id="rId290" Type="http://schemas.openxmlformats.org/officeDocument/2006/relationships/drawing" Target="../drawings/drawing1.xml"/><Relationship Id="rId60" Type="http://schemas.openxmlformats.org/officeDocument/2006/relationships/hyperlink" Target="https://www.google.com/maps?q=24.4412188,54.3964172" TargetMode="External"/><Relationship Id="rId165" Type="http://schemas.openxmlformats.org/officeDocument/2006/relationships/hyperlink" Target="https://www.google.com/maps?q=24.348643293274797,54.748416251520965" TargetMode="External"/><Relationship Id="rId286" Type="http://schemas.openxmlformats.org/officeDocument/2006/relationships/hyperlink" Target="https://www.google.com/maps?q=24.4847814,54.4088861" TargetMode="External"/><Relationship Id="rId69" Type="http://schemas.openxmlformats.org/officeDocument/2006/relationships/hyperlink" Target="https://www.google.com/maps?q=24.4344584,54.401376" TargetMode="External"/><Relationship Id="rId164" Type="http://schemas.openxmlformats.org/officeDocument/2006/relationships/hyperlink" Target="https://www.google.com/maps?q=24.4935017,54.3793678" TargetMode="External"/><Relationship Id="rId285" Type="http://schemas.openxmlformats.org/officeDocument/2006/relationships/hyperlink" Target="https://www.google.com/maps?q=24.2967528,54.6330295" TargetMode="External"/><Relationship Id="rId163" Type="http://schemas.openxmlformats.org/officeDocument/2006/relationships/hyperlink" Target="https://www.google.com/maps?q=24.4540401,54.3598065" TargetMode="External"/><Relationship Id="rId284" Type="http://schemas.openxmlformats.org/officeDocument/2006/relationships/hyperlink" Target="https://www.google.com/maps?q=24.2967528,54.6330295" TargetMode="External"/><Relationship Id="rId162" Type="http://schemas.openxmlformats.org/officeDocument/2006/relationships/hyperlink" Target="https://www.google.com/maps?q=24.366007728996085,54.548544613856215" TargetMode="External"/><Relationship Id="rId283" Type="http://schemas.openxmlformats.org/officeDocument/2006/relationships/hyperlink" Target="https://www.google.com/maps?q=24.8762807226535,55.049557438993006" TargetMode="External"/><Relationship Id="rId169" Type="http://schemas.openxmlformats.org/officeDocument/2006/relationships/hyperlink" Target="https://www.google.com/maps?q=24.36830143073938,54.53328043255577" TargetMode="External"/><Relationship Id="rId168" Type="http://schemas.openxmlformats.org/officeDocument/2006/relationships/hyperlink" Target="https://www.google.com/maps?q=24.3572919,54.6978792" TargetMode="External"/><Relationship Id="rId289" Type="http://schemas.openxmlformats.org/officeDocument/2006/relationships/hyperlink" Target="https://www.google.com/maps?q=24.333568155473717,54.71084769152754" TargetMode="External"/><Relationship Id="rId167" Type="http://schemas.openxmlformats.org/officeDocument/2006/relationships/hyperlink" Target="https://www.google.com/maps?q=24.330156944863205,54.75991327987001" TargetMode="External"/><Relationship Id="rId288" Type="http://schemas.openxmlformats.org/officeDocument/2006/relationships/hyperlink" Target="https://www.google.com/maps?q=24.333568155473717,54.71084769152754" TargetMode="External"/><Relationship Id="rId166" Type="http://schemas.openxmlformats.org/officeDocument/2006/relationships/hyperlink" Target="https://www.google.com/maps?q=24.4615021,54.3545418" TargetMode="External"/><Relationship Id="rId287" Type="http://schemas.openxmlformats.org/officeDocument/2006/relationships/hyperlink" Target="https://www.google.com/maps?q=24.488332107873276,54.36703648153299" TargetMode="External"/><Relationship Id="rId51" Type="http://schemas.openxmlformats.org/officeDocument/2006/relationships/hyperlink" Target="https://www.google.com/maps?q=24.457829508518884,54.383169525786094" TargetMode="External"/><Relationship Id="rId50" Type="http://schemas.openxmlformats.org/officeDocument/2006/relationships/hyperlink" Target="https://www.google.com/maps?q=24.363065844843092,54.645652622628894" TargetMode="External"/><Relationship Id="rId53" Type="http://schemas.openxmlformats.org/officeDocument/2006/relationships/hyperlink" Target="https://www.google.com/maps?q=24.4626107,54.3821621" TargetMode="External"/><Relationship Id="rId52" Type="http://schemas.openxmlformats.org/officeDocument/2006/relationships/hyperlink" Target="https://www.google.com/maps?q=24.3433076,54.6279835" TargetMode="External"/><Relationship Id="rId55" Type="http://schemas.openxmlformats.org/officeDocument/2006/relationships/hyperlink" Target="https://www.google.com/maps?q=24.427646476443147,54.415186350049645" TargetMode="External"/><Relationship Id="rId161" Type="http://schemas.openxmlformats.org/officeDocument/2006/relationships/hyperlink" Target="https://www.google.com/maps?q=24.330307744760578,54.76956479517223" TargetMode="External"/><Relationship Id="rId282" Type="http://schemas.openxmlformats.org/officeDocument/2006/relationships/hyperlink" Target="https://www.google.com/maps?q=24.8762807226535,55.049557438993006" TargetMode="External"/><Relationship Id="rId54" Type="http://schemas.openxmlformats.org/officeDocument/2006/relationships/hyperlink" Target="https://www.google.com/maps?q=24.42142591856825,54.55790798874446" TargetMode="External"/><Relationship Id="rId160" Type="http://schemas.openxmlformats.org/officeDocument/2006/relationships/hyperlink" Target="https://www.google.com/maps?q=24.476329808458125,54.38142778308487" TargetMode="External"/><Relationship Id="rId281" Type="http://schemas.openxmlformats.org/officeDocument/2006/relationships/hyperlink" Target="https://www.google.com/maps?q=24.43990843442449,54.727856367714615" TargetMode="External"/><Relationship Id="rId57" Type="http://schemas.openxmlformats.org/officeDocument/2006/relationships/hyperlink" Target="https://www.google.com/maps?q=24.395423819004588,54.71244518273372" TargetMode="External"/><Relationship Id="rId280" Type="http://schemas.openxmlformats.org/officeDocument/2006/relationships/hyperlink" Target="https://www.google.com/maps?q=24.43990843442449,54.727856367714615" TargetMode="External"/><Relationship Id="rId56" Type="http://schemas.openxmlformats.org/officeDocument/2006/relationships/hyperlink" Target="https://www.google.com/maps?q=24.380387973967807,54.64621270468212" TargetMode="External"/><Relationship Id="rId159" Type="http://schemas.openxmlformats.org/officeDocument/2006/relationships/hyperlink" Target="https://www.google.com/maps?q=25.001207522049086,55.2876122960133" TargetMode="External"/><Relationship Id="rId59" Type="http://schemas.openxmlformats.org/officeDocument/2006/relationships/hyperlink" Target="https://www.google.com/maps?q=24.449786631924397,54.6136486530304" TargetMode="External"/><Relationship Id="rId154" Type="http://schemas.openxmlformats.org/officeDocument/2006/relationships/hyperlink" Target="https://www.google.com/maps?q=24.423376367853244,54.573208821945485" TargetMode="External"/><Relationship Id="rId275" Type="http://schemas.openxmlformats.org/officeDocument/2006/relationships/hyperlink" Target="https://www.google.com/maps?q=24.476023,54.3513486" TargetMode="External"/><Relationship Id="rId58" Type="http://schemas.openxmlformats.org/officeDocument/2006/relationships/hyperlink" Target="https://www.google.com/maps?q=24.4907523,54.4000173" TargetMode="External"/><Relationship Id="rId153" Type="http://schemas.openxmlformats.org/officeDocument/2006/relationships/hyperlink" Target="https://www.google.com/maps?q=24.32675659152615,54.745348638890064" TargetMode="External"/><Relationship Id="rId274" Type="http://schemas.openxmlformats.org/officeDocument/2006/relationships/hyperlink" Target="https://www.google.com/maps?q=24.476023,54.3513486" TargetMode="External"/><Relationship Id="rId152" Type="http://schemas.openxmlformats.org/officeDocument/2006/relationships/hyperlink" Target="https://www.google.com/maps?q=24.36229786906206,54.71295350260086" TargetMode="External"/><Relationship Id="rId273" Type="http://schemas.openxmlformats.org/officeDocument/2006/relationships/hyperlink" Target="https://www.google.com/maps?q=24.48833465409858,54.367034255556845" TargetMode="External"/><Relationship Id="rId151" Type="http://schemas.openxmlformats.org/officeDocument/2006/relationships/hyperlink" Target="https://www.google.com/maps?q=24.3601991598792,54.662563475698704" TargetMode="External"/><Relationship Id="rId272" Type="http://schemas.openxmlformats.org/officeDocument/2006/relationships/hyperlink" Target="https://www.google.com/maps?q=24.4581718,54.3811798" TargetMode="External"/><Relationship Id="rId158" Type="http://schemas.openxmlformats.org/officeDocument/2006/relationships/hyperlink" Target="https://www.google.com/maps?q=24.417626032389048,54.550657518335115" TargetMode="External"/><Relationship Id="rId279" Type="http://schemas.openxmlformats.org/officeDocument/2006/relationships/hyperlink" Target="https://www.google.com/maps?q=24.489289,54.36743" TargetMode="External"/><Relationship Id="rId157" Type="http://schemas.openxmlformats.org/officeDocument/2006/relationships/hyperlink" Target="https://www.google.com/maps?q=24.3468536,54.565883" TargetMode="External"/><Relationship Id="rId278" Type="http://schemas.openxmlformats.org/officeDocument/2006/relationships/hyperlink" Target="https://www.google.com/maps?q=24.312021255493164,54.610374450683594" TargetMode="External"/><Relationship Id="rId156" Type="http://schemas.openxmlformats.org/officeDocument/2006/relationships/hyperlink" Target="https://www.google.com/maps?q=24.4816992,54.375785" TargetMode="External"/><Relationship Id="rId277" Type="http://schemas.openxmlformats.org/officeDocument/2006/relationships/hyperlink" Target="https://www.google.com/maps?q=24.29671221735467,54.63328993941091" TargetMode="External"/><Relationship Id="rId155" Type="http://schemas.openxmlformats.org/officeDocument/2006/relationships/hyperlink" Target="https://www.google.com/maps?q=24.5108128,54.4056452" TargetMode="External"/><Relationship Id="rId276" Type="http://schemas.openxmlformats.org/officeDocument/2006/relationships/hyperlink" Target="https://www.google.com/maps?q=24.29671221735467,54.63328993941091" TargetMode="External"/><Relationship Id="rId107" Type="http://schemas.openxmlformats.org/officeDocument/2006/relationships/hyperlink" Target="https://www.google.com/maps?q=24.484963646003283,54.4041744597899" TargetMode="External"/><Relationship Id="rId228" Type="http://schemas.openxmlformats.org/officeDocument/2006/relationships/hyperlink" Target="https://www.google.com/maps?q=24.51154807780287,54.40622682406262" TargetMode="External"/><Relationship Id="rId106" Type="http://schemas.openxmlformats.org/officeDocument/2006/relationships/hyperlink" Target="https://www.google.com/maps?q=24.3795837,54.6433836" TargetMode="External"/><Relationship Id="rId227" Type="http://schemas.openxmlformats.org/officeDocument/2006/relationships/hyperlink" Target="https://www.google.com/maps?q=24.48833760309474,54.36702741822011" TargetMode="External"/><Relationship Id="rId105" Type="http://schemas.openxmlformats.org/officeDocument/2006/relationships/hyperlink" Target="https://www.google.com/maps?q=24.318943444833746,54.537442028970794" TargetMode="External"/><Relationship Id="rId226" Type="http://schemas.openxmlformats.org/officeDocument/2006/relationships/hyperlink" Target="https://www.google.com/maps?q=24.4392586,54.3933716" TargetMode="External"/><Relationship Id="rId104" Type="http://schemas.openxmlformats.org/officeDocument/2006/relationships/hyperlink" Target="https://www.google.com/maps?q=24.471886074971458,54.374371046160974" TargetMode="External"/><Relationship Id="rId225" Type="http://schemas.openxmlformats.org/officeDocument/2006/relationships/hyperlink" Target="https://www.google.com/maps?q=24.4828856,54.3733929" TargetMode="External"/><Relationship Id="rId109" Type="http://schemas.openxmlformats.org/officeDocument/2006/relationships/hyperlink" Target="https://www.google.com/maps?q=24.3648776,54.7466072" TargetMode="External"/><Relationship Id="rId108" Type="http://schemas.openxmlformats.org/officeDocument/2006/relationships/hyperlink" Target="https://www.google.com/maps?q=24.49895477294922,54.37327194213867" TargetMode="External"/><Relationship Id="rId229" Type="http://schemas.openxmlformats.org/officeDocument/2006/relationships/hyperlink" Target="https://www.google.com/maps?q=24.51154807780287,54.40622682406262" TargetMode="External"/><Relationship Id="rId220" Type="http://schemas.openxmlformats.org/officeDocument/2006/relationships/hyperlink" Target="https://www.google.com/maps?q=24.4127259,54.7428179" TargetMode="External"/><Relationship Id="rId103" Type="http://schemas.openxmlformats.org/officeDocument/2006/relationships/hyperlink" Target="https://www.google.com/maps?q=24.479677811702995,54.36228080171098" TargetMode="External"/><Relationship Id="rId224" Type="http://schemas.openxmlformats.org/officeDocument/2006/relationships/hyperlink" Target="https://www.google.com/maps?q=24.4828856,54.3733929" TargetMode="External"/><Relationship Id="rId102" Type="http://schemas.openxmlformats.org/officeDocument/2006/relationships/hyperlink" Target="https://www.google.com/maps?q=24.3941969,54.7138706" TargetMode="External"/><Relationship Id="rId223" Type="http://schemas.openxmlformats.org/officeDocument/2006/relationships/hyperlink" Target="https://www.google.com/maps?q=24.450063396978898,54.61462615166343" TargetMode="External"/><Relationship Id="rId101" Type="http://schemas.openxmlformats.org/officeDocument/2006/relationships/hyperlink" Target="https://www.google.com/maps?q=24.455645139757596,54.39597541868014" TargetMode="External"/><Relationship Id="rId222" Type="http://schemas.openxmlformats.org/officeDocument/2006/relationships/hyperlink" Target="https://www.google.com/maps?q=24.450063396978898,54.61462615166343" TargetMode="External"/><Relationship Id="rId100" Type="http://schemas.openxmlformats.org/officeDocument/2006/relationships/hyperlink" Target="https://www.google.com/maps?q=24.407829325295552,54.5653016169153" TargetMode="External"/><Relationship Id="rId221" Type="http://schemas.openxmlformats.org/officeDocument/2006/relationships/hyperlink" Target="https://www.google.com/maps?q=24.4127259,54.7428179" TargetMode="External"/><Relationship Id="rId217" Type="http://schemas.openxmlformats.org/officeDocument/2006/relationships/hyperlink" Target="https://www.google.com/maps?q=24.3590233,54.7475746" TargetMode="External"/><Relationship Id="rId216" Type="http://schemas.openxmlformats.org/officeDocument/2006/relationships/hyperlink" Target="https://www.google.com/maps?q=24.3590233,54.7475746" TargetMode="External"/><Relationship Id="rId215" Type="http://schemas.openxmlformats.org/officeDocument/2006/relationships/hyperlink" Target="https://www.google.com/maps?q=24.3203767,54.5380537" TargetMode="External"/><Relationship Id="rId214" Type="http://schemas.openxmlformats.org/officeDocument/2006/relationships/hyperlink" Target="https://www.google.com/maps?q=24.3203767,54.5380537" TargetMode="External"/><Relationship Id="rId219" Type="http://schemas.openxmlformats.org/officeDocument/2006/relationships/hyperlink" Target="https://www.google.com/maps?q=24.4824623,54.4073493" TargetMode="External"/><Relationship Id="rId218" Type="http://schemas.openxmlformats.org/officeDocument/2006/relationships/hyperlink" Target="https://www.google.com/maps?q=24.4824623,54.4073493" TargetMode="External"/><Relationship Id="rId213" Type="http://schemas.openxmlformats.org/officeDocument/2006/relationships/hyperlink" Target="https://www.google.com/maps?q=24.491471238626293,54.37904771200508" TargetMode="External"/><Relationship Id="rId212" Type="http://schemas.openxmlformats.org/officeDocument/2006/relationships/hyperlink" Target="https://www.google.com/maps?q=24.491471238626293,54.37904771200508" TargetMode="External"/><Relationship Id="rId211" Type="http://schemas.openxmlformats.org/officeDocument/2006/relationships/hyperlink" Target="https://www.google.com/maps?q=24.43004865095136,54.62129140763867" TargetMode="External"/><Relationship Id="rId210" Type="http://schemas.openxmlformats.org/officeDocument/2006/relationships/hyperlink" Target="https://www.google.com/maps?q=24.43004865095136,54.62129140763867" TargetMode="External"/><Relationship Id="rId129" Type="http://schemas.openxmlformats.org/officeDocument/2006/relationships/hyperlink" Target="https://www.google.com/maps?q=24.482894262046862,54.36845129857045" TargetMode="External"/><Relationship Id="rId128" Type="http://schemas.openxmlformats.org/officeDocument/2006/relationships/hyperlink" Target="https://www.google.com/maps?q=24.499030574501223,54.404329061508186" TargetMode="External"/><Relationship Id="rId249" Type="http://schemas.openxmlformats.org/officeDocument/2006/relationships/hyperlink" Target="https://www.google.com/maps?q=24.4578963,54.3588332" TargetMode="External"/><Relationship Id="rId127" Type="http://schemas.openxmlformats.org/officeDocument/2006/relationships/hyperlink" Target="https://www.google.com/maps?q=24.321683883666992,54.619476318359375" TargetMode="External"/><Relationship Id="rId248" Type="http://schemas.openxmlformats.org/officeDocument/2006/relationships/hyperlink" Target="https://www.google.com/maps?q=24.4578963,54.3588332" TargetMode="External"/><Relationship Id="rId126" Type="http://schemas.openxmlformats.org/officeDocument/2006/relationships/hyperlink" Target="https://www.google.com/maps?q=24.2988795,54.6298053" TargetMode="External"/><Relationship Id="rId247" Type="http://schemas.openxmlformats.org/officeDocument/2006/relationships/hyperlink" Target="https://www.google.com/maps?q=24.4832300682437,54.37693478812294" TargetMode="External"/><Relationship Id="rId121" Type="http://schemas.openxmlformats.org/officeDocument/2006/relationships/hyperlink" Target="https://www.google.com/maps?q=24.4212657,54.5580295" TargetMode="External"/><Relationship Id="rId242" Type="http://schemas.openxmlformats.org/officeDocument/2006/relationships/hyperlink" Target="https://www.google.com/maps?q=24.4754124,54.3880134" TargetMode="External"/><Relationship Id="rId120" Type="http://schemas.openxmlformats.org/officeDocument/2006/relationships/hyperlink" Target="https://maps.google.com/?q=24.394480,54.729683" TargetMode="External"/><Relationship Id="rId241" Type="http://schemas.openxmlformats.org/officeDocument/2006/relationships/hyperlink" Target="https://www.google.com/maps?q=24.4617356,54.3850919" TargetMode="External"/><Relationship Id="rId240" Type="http://schemas.openxmlformats.org/officeDocument/2006/relationships/hyperlink" Target="https://www.google.com/maps?q=24.4617356,54.3850919" TargetMode="External"/><Relationship Id="rId125" Type="http://schemas.openxmlformats.org/officeDocument/2006/relationships/hyperlink" Target="https://www.google.com/maps?q=24.419429779052734,54.72201156616211" TargetMode="External"/><Relationship Id="rId246" Type="http://schemas.openxmlformats.org/officeDocument/2006/relationships/hyperlink" Target="https://www.google.com/maps?q=24.4832300682437,54.37693478812294" TargetMode="External"/><Relationship Id="rId124" Type="http://schemas.openxmlformats.org/officeDocument/2006/relationships/hyperlink" Target="https://www.google.com/maps?q=24.33805838086345,54.76028767030324" TargetMode="External"/><Relationship Id="rId245" Type="http://schemas.openxmlformats.org/officeDocument/2006/relationships/hyperlink" Target="https://www.google.com/maps?q=24.55635500795252,54.64145421981814" TargetMode="External"/><Relationship Id="rId123" Type="http://schemas.openxmlformats.org/officeDocument/2006/relationships/hyperlink" Target="https://www.google.com/maps?q=24.4245998,54.4273868" TargetMode="External"/><Relationship Id="rId244" Type="http://schemas.openxmlformats.org/officeDocument/2006/relationships/hyperlink" Target="https://www.google.com/maps?q=24.55635500795252,54.64145421981814" TargetMode="External"/><Relationship Id="rId122" Type="http://schemas.openxmlformats.org/officeDocument/2006/relationships/hyperlink" Target="https://www.google.com/maps?q=24.4394904,54.3926422" TargetMode="External"/><Relationship Id="rId243" Type="http://schemas.openxmlformats.org/officeDocument/2006/relationships/hyperlink" Target="https://www.google.com/maps?q=24.4754124,54.3880134" TargetMode="External"/><Relationship Id="rId95" Type="http://schemas.openxmlformats.org/officeDocument/2006/relationships/hyperlink" Target="https://www.google.com/maps?q=24.49409576787982,54.40330879437383" TargetMode="External"/><Relationship Id="rId94" Type="http://schemas.openxmlformats.org/officeDocument/2006/relationships/hyperlink" Target="https://www.google.com/maps?q=24.2983624,54.6221276" TargetMode="External"/><Relationship Id="rId97" Type="http://schemas.openxmlformats.org/officeDocument/2006/relationships/hyperlink" Target="https://www.google.com/maps?q=24.323850631713867,54.54386520385742" TargetMode="External"/><Relationship Id="rId96" Type="http://schemas.openxmlformats.org/officeDocument/2006/relationships/hyperlink" Target="https://www.google.com/maps?q=24.383498298952055,54.733667643311875" TargetMode="External"/><Relationship Id="rId99" Type="http://schemas.openxmlformats.org/officeDocument/2006/relationships/hyperlink" Target="https://www.google.com/maps?q=24.407829325295552,54.5653016169153" TargetMode="External"/><Relationship Id="rId98" Type="http://schemas.openxmlformats.org/officeDocument/2006/relationships/hyperlink" Target="https://www.google.com/maps?q=24.5026717,54.3778221" TargetMode="External"/><Relationship Id="rId91" Type="http://schemas.openxmlformats.org/officeDocument/2006/relationships/hyperlink" Target="https://www.google.com/maps?q=24.31043815612793,54.56330108642578" TargetMode="External"/><Relationship Id="rId90" Type="http://schemas.openxmlformats.org/officeDocument/2006/relationships/hyperlink" Target="https://www.google.com/maps?q=24.477846152348565,54.367074796293785" TargetMode="External"/><Relationship Id="rId93" Type="http://schemas.openxmlformats.org/officeDocument/2006/relationships/hyperlink" Target="https://www.google.com/maps?q=24.488353232023794,54.36703602677353" TargetMode="External"/><Relationship Id="rId92" Type="http://schemas.openxmlformats.org/officeDocument/2006/relationships/hyperlink" Target="https://www.google.com/maps?q=24.369816,54.690849" TargetMode="External"/><Relationship Id="rId118" Type="http://schemas.openxmlformats.org/officeDocument/2006/relationships/hyperlink" Target="https://www.google.com/maps?q=24.39610425921583,54.49483149375458" TargetMode="External"/><Relationship Id="rId239" Type="http://schemas.openxmlformats.org/officeDocument/2006/relationships/hyperlink" Target="https://www.google.com/maps?q=24.4839877,54.3736343" TargetMode="External"/><Relationship Id="rId117" Type="http://schemas.openxmlformats.org/officeDocument/2006/relationships/hyperlink" Target="https://www.google.com/maps?q=24.453582811836768,54.359411377293355" TargetMode="External"/><Relationship Id="rId238" Type="http://schemas.openxmlformats.org/officeDocument/2006/relationships/hyperlink" Target="https://www.google.com/maps?q=24.4839877,54.3736343" TargetMode="External"/><Relationship Id="rId116" Type="http://schemas.openxmlformats.org/officeDocument/2006/relationships/hyperlink" Target="https://www.google.com/maps?q=24.476443858660044,54.38030192382037" TargetMode="External"/><Relationship Id="rId237" Type="http://schemas.openxmlformats.org/officeDocument/2006/relationships/hyperlink" Target="https://www.google.com/maps?q=25.39364255621061,55.45526693157126" TargetMode="External"/><Relationship Id="rId115" Type="http://schemas.openxmlformats.org/officeDocument/2006/relationships/hyperlink" Target="https://www.google.com/maps?q=24.342117101845112,54.75897213685155" TargetMode="External"/><Relationship Id="rId236" Type="http://schemas.openxmlformats.org/officeDocument/2006/relationships/hyperlink" Target="https://www.google.com/maps?q=25.39364255621061,55.45526693157126" TargetMode="External"/><Relationship Id="rId119" Type="http://schemas.openxmlformats.org/officeDocument/2006/relationships/hyperlink" Target="https://www.google.com/maps?q=24.291334967584127,54.64323865569349" TargetMode="External"/><Relationship Id="rId110" Type="http://schemas.openxmlformats.org/officeDocument/2006/relationships/hyperlink" Target="https://www.google.com/maps?q=24.3823036,54.7026194" TargetMode="External"/><Relationship Id="rId231" Type="http://schemas.openxmlformats.org/officeDocument/2006/relationships/hyperlink" Target="https://www.google.com/maps?q=24.504093170000004,54.41565322000001" TargetMode="External"/><Relationship Id="rId230" Type="http://schemas.openxmlformats.org/officeDocument/2006/relationships/hyperlink" Target="https://www.google.com/maps?q=24.504093170000004,54.41565322000001" TargetMode="External"/><Relationship Id="rId114" Type="http://schemas.openxmlformats.org/officeDocument/2006/relationships/hyperlink" Target="https://www.google.com/maps?q=24.459077835083008,54.3751335144043" TargetMode="External"/><Relationship Id="rId235" Type="http://schemas.openxmlformats.org/officeDocument/2006/relationships/hyperlink" Target="https://www.google.com/maps?q=24.406132267192973,54.57922825754812" TargetMode="External"/><Relationship Id="rId113" Type="http://schemas.openxmlformats.org/officeDocument/2006/relationships/hyperlink" Target="https://www.google.com/maps?q=24.4842079,54.405234" TargetMode="External"/><Relationship Id="rId234" Type="http://schemas.openxmlformats.org/officeDocument/2006/relationships/hyperlink" Target="https://www.google.com/maps?q=24.406132267192973,54.57922825754812" TargetMode="External"/><Relationship Id="rId112" Type="http://schemas.openxmlformats.org/officeDocument/2006/relationships/hyperlink" Target="https://www.google.com/maps?q=24.487424794735873,54.373275842214106" TargetMode="External"/><Relationship Id="rId233" Type="http://schemas.openxmlformats.org/officeDocument/2006/relationships/hyperlink" Target="https://www.google.com/maps?q=24.32160286901728,54.62401405136186" TargetMode="External"/><Relationship Id="rId111" Type="http://schemas.openxmlformats.org/officeDocument/2006/relationships/hyperlink" Target="https://www.google.com/maps?q=24.456756591796875,54.31947326660156" TargetMode="External"/><Relationship Id="rId232" Type="http://schemas.openxmlformats.org/officeDocument/2006/relationships/hyperlink" Target="https://www.google.com/maps?q=24.32160286901728,54.62401405136186" TargetMode="External"/><Relationship Id="rId206" Type="http://schemas.openxmlformats.org/officeDocument/2006/relationships/hyperlink" Target="https://www.google.com/maps?q=24.4578404,54.3588195" TargetMode="External"/><Relationship Id="rId205" Type="http://schemas.openxmlformats.org/officeDocument/2006/relationships/hyperlink" Target="https://www.google.com/maps?q=24.4883879098496,54.366944379807336" TargetMode="External"/><Relationship Id="rId204" Type="http://schemas.openxmlformats.org/officeDocument/2006/relationships/hyperlink" Target="https://www.google.com/maps?q=24.51028060913086,54.40510177612305" TargetMode="External"/><Relationship Id="rId203" Type="http://schemas.openxmlformats.org/officeDocument/2006/relationships/hyperlink" Target="https://www.google.com/maps?q=24.488382791676692,54.36702937609397" TargetMode="External"/><Relationship Id="rId209" Type="http://schemas.openxmlformats.org/officeDocument/2006/relationships/hyperlink" Target="https://www.google.com/maps?q=24.47857816060845,54.360889282301585" TargetMode="External"/><Relationship Id="rId208" Type="http://schemas.openxmlformats.org/officeDocument/2006/relationships/hyperlink" Target="https://www.google.com/maps?q=24.47857816060845,54.360889282301585" TargetMode="External"/><Relationship Id="rId207" Type="http://schemas.openxmlformats.org/officeDocument/2006/relationships/hyperlink" Target="https://www.google.com/maps?q=24.4578404,54.3588195" TargetMode="External"/><Relationship Id="rId202" Type="http://schemas.openxmlformats.org/officeDocument/2006/relationships/hyperlink" Target="https://www.google.com/maps?q=24.476825714111328,54.353424072265625" TargetMode="External"/><Relationship Id="rId201" Type="http://schemas.openxmlformats.org/officeDocument/2006/relationships/hyperlink" Target="https://www.google.com/maps?q=24.556686794624948,54.640817642211914" TargetMode="External"/><Relationship Id="rId200" Type="http://schemas.openxmlformats.org/officeDocument/2006/relationships/hyperlink" Target="https://www.google.com/maps?q=24.556686794624948,54.64081764221191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google.com/maps?q=24.413685,54.495136" TargetMode="External"/><Relationship Id="rId10" Type="http://schemas.openxmlformats.org/officeDocument/2006/relationships/hyperlink" Target="https://www.google.com/maps?q=24.396056135766734,54.5660779698686" TargetMode="External"/><Relationship Id="rId12" Type="http://schemas.openxmlformats.org/officeDocument/2006/relationships/drawing" Target="../drawings/drawing4.xml"/><Relationship Id="rId1" Type="http://schemas.openxmlformats.org/officeDocument/2006/relationships/hyperlink" Target="https://www.google.com/maps?q=24.476906066431106,54.367972972393915" TargetMode="External"/><Relationship Id="rId2" Type="http://schemas.openxmlformats.org/officeDocument/2006/relationships/hyperlink" Target="https://www.google.com/maps?q=24.333568155473717,54.71084769152754" TargetMode="External"/><Relationship Id="rId3" Type="http://schemas.openxmlformats.org/officeDocument/2006/relationships/hyperlink" Target="https://www.google.com/maps?q=24.32160286901728,54.62401405136186" TargetMode="External"/><Relationship Id="rId4" Type="http://schemas.openxmlformats.org/officeDocument/2006/relationships/hyperlink" Target="https://www.google.com/maps?q=24.489808806913402,54.379773574784124" TargetMode="External"/><Relationship Id="rId9" Type="http://schemas.openxmlformats.org/officeDocument/2006/relationships/hyperlink" Target="https://www.google.com/maps?q=24.3795837,54.6433836" TargetMode="External"/><Relationship Id="rId5" Type="http://schemas.openxmlformats.org/officeDocument/2006/relationships/hyperlink" Target="https://www.google.com/maps?q=24.405996821373577,54.517312166606" TargetMode="External"/><Relationship Id="rId6" Type="http://schemas.openxmlformats.org/officeDocument/2006/relationships/hyperlink" Target="https://www.google.com/maps?q=24.4907523,54.4000173" TargetMode="External"/><Relationship Id="rId7" Type="http://schemas.openxmlformats.org/officeDocument/2006/relationships/hyperlink" Target="https://www.google.com/maps?q=24.4839877,54.3736343" TargetMode="External"/><Relationship Id="rId8" Type="http://schemas.openxmlformats.org/officeDocument/2006/relationships/hyperlink" Target="https://www.google.com/maps?q=24.4018107,54.519146"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google.com/maps?q=24.396056135766734,54.5660779698686" TargetMode="External"/><Relationship Id="rId42" Type="http://schemas.openxmlformats.org/officeDocument/2006/relationships/hyperlink" Target="https://www.google.com/maps?q=24.489289,54.36743" TargetMode="External"/><Relationship Id="rId41" Type="http://schemas.openxmlformats.org/officeDocument/2006/relationships/hyperlink" Target="https://www.google.com/maps?q=24.29671221735467,54.63328993941091" TargetMode="External"/><Relationship Id="rId44" Type="http://schemas.openxmlformats.org/officeDocument/2006/relationships/drawing" Target="../drawings/drawing9.xml"/><Relationship Id="rId43" Type="http://schemas.openxmlformats.org/officeDocument/2006/relationships/hyperlink" Target="https://www.google.com/maps?q=24.43990843442449,54.727856367714615" TargetMode="External"/><Relationship Id="rId31" Type="http://schemas.openxmlformats.org/officeDocument/2006/relationships/hyperlink" Target="https://www.google.com/maps?q=24.318532943725586,54.537132263183594" TargetMode="External"/><Relationship Id="rId30" Type="http://schemas.openxmlformats.org/officeDocument/2006/relationships/hyperlink" Target="https://www.google.com/maps?q=24.348643293274797,54.748416251520965" TargetMode="External"/><Relationship Id="rId33" Type="http://schemas.openxmlformats.org/officeDocument/2006/relationships/hyperlink" Target="https://www.google.com/maps?q=24.4344584,54.401376" TargetMode="External"/><Relationship Id="rId32" Type="http://schemas.openxmlformats.org/officeDocument/2006/relationships/hyperlink" Target="https://www.google.com/maps?q=24.4564229,54.3908429" TargetMode="External"/><Relationship Id="rId35" Type="http://schemas.openxmlformats.org/officeDocument/2006/relationships/hyperlink" Target="https://www.google.com/maps?q=24.3849525,54.6564186" TargetMode="External"/><Relationship Id="rId34" Type="http://schemas.openxmlformats.org/officeDocument/2006/relationships/hyperlink" Target="https://www.google.com/maps?q=24.330156944863205,54.75991327987001" TargetMode="External"/><Relationship Id="rId37" Type="http://schemas.openxmlformats.org/officeDocument/2006/relationships/hyperlink" Target="https://www.google.com/maps?q=24.455645139757596,54.39597541868014" TargetMode="External"/><Relationship Id="rId36" Type="http://schemas.openxmlformats.org/officeDocument/2006/relationships/hyperlink" Target="https://www.google.com/maps?q=24.3468536,54.565883" TargetMode="External"/><Relationship Id="rId39" Type="http://schemas.openxmlformats.org/officeDocument/2006/relationships/hyperlink" Target="https://www.google.com/maps?q=24.3974839714766,54.559356103338686" TargetMode="External"/><Relationship Id="rId38" Type="http://schemas.openxmlformats.org/officeDocument/2006/relationships/hyperlink" Target="https://www.google.com/maps?q=24.36830143073938,54.53328043255577" TargetMode="External"/><Relationship Id="rId20" Type="http://schemas.openxmlformats.org/officeDocument/2006/relationships/hyperlink" Target="https://www.google.com/maps?q=24.489289,54.36743" TargetMode="External"/><Relationship Id="rId22" Type="http://schemas.openxmlformats.org/officeDocument/2006/relationships/hyperlink" Target="https://www.google.com/maps?q=24.8762807226535,55.049557438993006" TargetMode="External"/><Relationship Id="rId21" Type="http://schemas.openxmlformats.org/officeDocument/2006/relationships/hyperlink" Target="https://www.google.com/maps?q=24.43990843442449,54.727856367714615" TargetMode="External"/><Relationship Id="rId24" Type="http://schemas.openxmlformats.org/officeDocument/2006/relationships/hyperlink" Target="https://www.google.com/maps?q=24.32675659152615,54.745348638890064" TargetMode="External"/><Relationship Id="rId23" Type="http://schemas.openxmlformats.org/officeDocument/2006/relationships/hyperlink" Target="https://www.google.com/maps?q=24.488332107873276,54.36703648153299" TargetMode="External"/><Relationship Id="rId26" Type="http://schemas.openxmlformats.org/officeDocument/2006/relationships/hyperlink" Target="https://www.google.com/maps?q=24.443651017632494,54.59036286828321" TargetMode="External"/><Relationship Id="rId25" Type="http://schemas.openxmlformats.org/officeDocument/2006/relationships/hyperlink" Target="https://www.google.com/maps?q=24.330307744760578,54.76956479517223" TargetMode="External"/><Relationship Id="rId28" Type="http://schemas.openxmlformats.org/officeDocument/2006/relationships/hyperlink" Target="https://www.google.com/maps?q=24.408725875576238,54.56453676650623" TargetMode="External"/><Relationship Id="rId27" Type="http://schemas.openxmlformats.org/officeDocument/2006/relationships/hyperlink" Target="https://www.google.com/maps?q=24.3203767,54.5380537" TargetMode="External"/><Relationship Id="rId29" Type="http://schemas.openxmlformats.org/officeDocument/2006/relationships/hyperlink" Target="https://www.google.com/maps?q=24.298819,54.6298218" TargetMode="External"/><Relationship Id="rId11" Type="http://schemas.openxmlformats.org/officeDocument/2006/relationships/hyperlink" Target="https://www.google.com/maps?q=24.4344584,54.401376" TargetMode="External"/><Relationship Id="rId10" Type="http://schemas.openxmlformats.org/officeDocument/2006/relationships/hyperlink" Target="https://www.google.com/maps?q=24.4564229,54.3908429" TargetMode="External"/><Relationship Id="rId13" Type="http://schemas.openxmlformats.org/officeDocument/2006/relationships/hyperlink" Target="https://www.google.com/maps?q=24.3849525,54.6564186" TargetMode="External"/><Relationship Id="rId12" Type="http://schemas.openxmlformats.org/officeDocument/2006/relationships/hyperlink" Target="https://www.google.com/maps?q=24.330156944863205,54.75991327987001" TargetMode="External"/><Relationship Id="rId15" Type="http://schemas.openxmlformats.org/officeDocument/2006/relationships/hyperlink" Target="https://www.google.com/maps?q=24.455645139757596,54.39597541868014" TargetMode="External"/><Relationship Id="rId14" Type="http://schemas.openxmlformats.org/officeDocument/2006/relationships/hyperlink" Target="https://www.google.com/maps?q=24.3468536,54.565883" TargetMode="External"/><Relationship Id="rId17" Type="http://schemas.openxmlformats.org/officeDocument/2006/relationships/hyperlink" Target="https://www.google.com/maps?q=24.3974839714766,54.559356103338686" TargetMode="External"/><Relationship Id="rId16" Type="http://schemas.openxmlformats.org/officeDocument/2006/relationships/hyperlink" Target="https://www.google.com/maps?q=24.36830143073938,54.53328043255577" TargetMode="External"/><Relationship Id="rId19" Type="http://schemas.openxmlformats.org/officeDocument/2006/relationships/hyperlink" Target="https://www.google.com/maps?q=24.29671221735467,54.63328993941091" TargetMode="External"/><Relationship Id="rId18" Type="http://schemas.openxmlformats.org/officeDocument/2006/relationships/hyperlink" Target="https://www.google.com/maps?q=24.396056135766734,54.5660779698686" TargetMode="External"/><Relationship Id="rId1" Type="http://schemas.openxmlformats.org/officeDocument/2006/relationships/hyperlink" Target="https://www.google.com/maps?q=24.32675659152615,54.745348638890064" TargetMode="External"/><Relationship Id="rId2" Type="http://schemas.openxmlformats.org/officeDocument/2006/relationships/hyperlink" Target="https://www.google.com/maps?q=24.330307744760578,54.76956479517223" TargetMode="External"/><Relationship Id="rId3" Type="http://schemas.openxmlformats.org/officeDocument/2006/relationships/hyperlink" Target="https://www.google.com/maps?q=24.443651017632494,54.59036286828321" TargetMode="External"/><Relationship Id="rId4" Type="http://schemas.openxmlformats.org/officeDocument/2006/relationships/hyperlink" Target="https://www.google.com/maps?q=24.3203767,54.5380537" TargetMode="External"/><Relationship Id="rId9" Type="http://schemas.openxmlformats.org/officeDocument/2006/relationships/hyperlink" Target="https://www.google.com/maps?q=24.318532943725586,54.537132263183594" TargetMode="External"/><Relationship Id="rId5" Type="http://schemas.openxmlformats.org/officeDocument/2006/relationships/hyperlink" Target="https://www.google.com/maps?q=24.408725875576238,54.56453676650623" TargetMode="External"/><Relationship Id="rId6" Type="http://schemas.openxmlformats.org/officeDocument/2006/relationships/hyperlink" Target="https://www.google.com/maps?q=24.298819,54.6298218" TargetMode="External"/><Relationship Id="rId7" Type="http://schemas.openxmlformats.org/officeDocument/2006/relationships/hyperlink" Target="https://www.google.com/maps?q=24.348643293274797,54.748416251520965" TargetMode="External"/><Relationship Id="rId8" Type="http://schemas.openxmlformats.org/officeDocument/2006/relationships/hyperlink" Target="https://www.google.com/maps?q=24.366879007601142,54.75577354431153"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www.google.com/maps?q=24.498371,54.4051157" TargetMode="External"/><Relationship Id="rId10" Type="http://schemas.openxmlformats.org/officeDocument/2006/relationships/hyperlink" Target="https://www.google.com/maps?q=24.450063396978898,54.61462615166343" TargetMode="External"/><Relationship Id="rId13" Type="http://schemas.openxmlformats.org/officeDocument/2006/relationships/hyperlink" Target="https://www.google.com/maps?q=24.488376387234172,54.36703744083892" TargetMode="External"/><Relationship Id="rId12" Type="http://schemas.openxmlformats.org/officeDocument/2006/relationships/hyperlink" Target="https://www.google.com/maps?q=24.47534554101265,54.351213039110156" TargetMode="External"/><Relationship Id="rId14" Type="http://schemas.openxmlformats.org/officeDocument/2006/relationships/drawing" Target="../drawings/drawing10.xml"/><Relationship Id="rId1" Type="http://schemas.openxmlformats.org/officeDocument/2006/relationships/hyperlink" Target="https://www.google.com/maps?q=24.380355,54.6460511" TargetMode="External"/><Relationship Id="rId2" Type="http://schemas.openxmlformats.org/officeDocument/2006/relationships/hyperlink" Target="https://www.google.com/maps?q=24.4754124,54.3880134" TargetMode="External"/><Relationship Id="rId3" Type="http://schemas.openxmlformats.org/officeDocument/2006/relationships/hyperlink" Target="https://www.google.com/maps?q=24.44315019038772,54.42298411154397" TargetMode="External"/><Relationship Id="rId4" Type="http://schemas.openxmlformats.org/officeDocument/2006/relationships/hyperlink" Target="https://www.google.com/maps?q=24.348643293274797,54.748416251520965" TargetMode="External"/><Relationship Id="rId9" Type="http://schemas.openxmlformats.org/officeDocument/2006/relationships/hyperlink" Target="https://www.google.com/maps?q=24.420550506051583,54.46312538079711" TargetMode="External"/><Relationship Id="rId5" Type="http://schemas.openxmlformats.org/officeDocument/2006/relationships/hyperlink" Target="https://www.google.com/maps?q=24.476906066431106,54.367972972393915" TargetMode="External"/><Relationship Id="rId6" Type="http://schemas.openxmlformats.org/officeDocument/2006/relationships/hyperlink" Target="https://www.google.com/maps?q=24.48040447704474,54.38423241719683" TargetMode="External"/><Relationship Id="rId7" Type="http://schemas.openxmlformats.org/officeDocument/2006/relationships/hyperlink" Target="https://www.google.com/maps?q=24.380387973967807,54.64621270468212" TargetMode="External"/><Relationship Id="rId8" Type="http://schemas.openxmlformats.org/officeDocument/2006/relationships/hyperlink" Target="https://www.google.com/maps?q=24.374748317474157,54.62962258977998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9.57"/>
    <col customWidth="1" min="2" max="2" width="21.43"/>
    <col customWidth="1" min="3" max="3" width="21.86"/>
    <col customWidth="1" min="4" max="4" width="11.71"/>
    <col customWidth="1" min="5" max="5" width="15.57"/>
    <col customWidth="1" min="6" max="6" width="31.29"/>
    <col customWidth="1" min="7" max="7" width="82.57"/>
    <col customWidth="1" min="8" max="10" width="22.57"/>
    <col customWidth="1" min="11" max="12" width="8.71"/>
    <col customWidth="1" min="13" max="13" width="11.57"/>
    <col customWidth="1" min="14" max="26" width="8.71"/>
  </cols>
  <sheetData>
    <row r="1" ht="14.25" customHeight="1">
      <c r="A1" s="1" t="s">
        <v>0</v>
      </c>
      <c r="B1" s="2" t="s">
        <v>1</v>
      </c>
      <c r="C1" s="3" t="s">
        <v>2</v>
      </c>
      <c r="D1" s="3" t="s">
        <v>3</v>
      </c>
      <c r="E1" s="2" t="s">
        <v>4</v>
      </c>
      <c r="F1" s="2" t="s">
        <v>5</v>
      </c>
      <c r="G1" s="4" t="s">
        <v>6</v>
      </c>
      <c r="H1" s="5" t="s">
        <v>7</v>
      </c>
      <c r="I1" s="5" t="s">
        <v>8</v>
      </c>
      <c r="J1" s="5" t="s">
        <v>9</v>
      </c>
      <c r="K1" s="5" t="s">
        <v>10</v>
      </c>
      <c r="L1" s="6" t="s">
        <v>11</v>
      </c>
      <c r="M1" s="6" t="s">
        <v>12</v>
      </c>
      <c r="N1" s="5"/>
      <c r="Q1" s="5"/>
      <c r="R1" s="5"/>
      <c r="S1" s="5"/>
      <c r="T1" s="5"/>
      <c r="U1" s="5"/>
      <c r="V1" s="5"/>
      <c r="W1" s="5"/>
      <c r="X1" s="5"/>
      <c r="Y1" s="5"/>
      <c r="Z1" s="5"/>
    </row>
    <row r="2" ht="14.25" customHeight="1">
      <c r="A2" s="7"/>
      <c r="B2" s="8"/>
      <c r="C2" s="9"/>
      <c r="D2" s="9"/>
      <c r="E2" s="10"/>
      <c r="F2" s="10"/>
      <c r="G2" s="11"/>
      <c r="H2" s="11"/>
      <c r="I2" s="11"/>
      <c r="J2" s="11"/>
      <c r="M2" s="12" t="s">
        <v>13</v>
      </c>
      <c r="N2" s="12" t="s">
        <v>13</v>
      </c>
      <c r="O2" s="12" t="s">
        <v>14</v>
      </c>
    </row>
    <row r="3" ht="14.25" customHeight="1">
      <c r="A3" s="7" t="s">
        <v>15</v>
      </c>
      <c r="B3" s="7" t="s">
        <v>16</v>
      </c>
      <c r="C3" s="13" t="s">
        <v>17</v>
      </c>
      <c r="D3" s="13" t="s">
        <v>17</v>
      </c>
      <c r="E3" s="14" t="s">
        <v>18</v>
      </c>
      <c r="F3" s="15" t="s">
        <v>19</v>
      </c>
      <c r="G3" s="16" t="s">
        <v>20</v>
      </c>
      <c r="H3" s="17">
        <v>46039.64685185185</v>
      </c>
      <c r="I3" s="17">
        <v>46160.601805555554</v>
      </c>
      <c r="J3" s="16" t="b">
        <v>1</v>
      </c>
    </row>
    <row r="4" ht="14.25" customHeight="1">
      <c r="A4" s="7" t="s">
        <v>21</v>
      </c>
      <c r="B4" s="7" t="s">
        <v>22</v>
      </c>
      <c r="C4" s="13" t="s">
        <v>23</v>
      </c>
      <c r="D4" s="13" t="s">
        <v>23</v>
      </c>
      <c r="E4" s="15" t="s">
        <v>24</v>
      </c>
      <c r="F4" s="15" t="s">
        <v>25</v>
      </c>
      <c r="G4" s="16" t="s">
        <v>26</v>
      </c>
      <c r="H4" s="17">
        <v>46039.648368055554</v>
      </c>
      <c r="I4" s="17">
        <v>46131.49748842593</v>
      </c>
      <c r="J4" s="16" t="b">
        <v>1</v>
      </c>
    </row>
    <row r="5" ht="14.25" customHeight="1">
      <c r="A5" s="7" t="s">
        <v>27</v>
      </c>
      <c r="B5" s="7" t="s">
        <v>28</v>
      </c>
      <c r="C5" s="13" t="s">
        <v>29</v>
      </c>
      <c r="D5" s="13" t="s">
        <v>29</v>
      </c>
      <c r="E5" s="15" t="s">
        <v>30</v>
      </c>
      <c r="F5" s="15" t="s">
        <v>31</v>
      </c>
      <c r="G5" s="16" t="s">
        <v>32</v>
      </c>
      <c r="H5" s="17">
        <v>46039.672372685185</v>
      </c>
      <c r="I5" s="17">
        <v>46162.75351851852</v>
      </c>
      <c r="J5" s="16" t="b">
        <v>1</v>
      </c>
    </row>
    <row r="6" ht="14.25" customHeight="1">
      <c r="A6" s="7" t="s">
        <v>33</v>
      </c>
      <c r="B6" s="18" t="s">
        <v>34</v>
      </c>
      <c r="C6" s="13" t="s">
        <v>35</v>
      </c>
      <c r="D6" s="13" t="s">
        <v>35</v>
      </c>
      <c r="E6" s="15" t="s">
        <v>36</v>
      </c>
      <c r="F6" s="15" t="s">
        <v>37</v>
      </c>
      <c r="G6" s="16" t="s">
        <v>38</v>
      </c>
      <c r="H6" s="17">
        <v>46039.71026620371</v>
      </c>
      <c r="I6" s="17">
        <v>46155.5809375</v>
      </c>
      <c r="J6" s="16" t="b">
        <v>1</v>
      </c>
    </row>
    <row r="7" ht="14.25" customHeight="1">
      <c r="A7" s="7" t="s">
        <v>39</v>
      </c>
      <c r="B7" s="18" t="s">
        <v>40</v>
      </c>
      <c r="C7" s="13" t="s">
        <v>41</v>
      </c>
      <c r="D7" s="13" t="s">
        <v>41</v>
      </c>
      <c r="E7" s="15" t="s">
        <v>42</v>
      </c>
      <c r="F7" s="15" t="s">
        <v>43</v>
      </c>
      <c r="G7" s="16" t="s">
        <v>44</v>
      </c>
      <c r="H7" s="17">
        <v>46039.72275462963</v>
      </c>
      <c r="I7" s="17">
        <v>46154.66171296296</v>
      </c>
      <c r="J7" s="16" t="b">
        <v>1</v>
      </c>
      <c r="N7" s="12" t="s">
        <v>45</v>
      </c>
      <c r="O7" s="19">
        <v>24.298819</v>
      </c>
      <c r="P7" s="19">
        <v>54.6298218</v>
      </c>
      <c r="Q7" s="20" t="s">
        <v>44</v>
      </c>
    </row>
    <row r="8" ht="14.25" customHeight="1">
      <c r="A8" s="7" t="s">
        <v>46</v>
      </c>
      <c r="B8" s="18" t="s">
        <v>47</v>
      </c>
      <c r="C8" s="13" t="s">
        <v>48</v>
      </c>
      <c r="D8" s="13" t="s">
        <v>49</v>
      </c>
      <c r="E8" s="15" t="s">
        <v>50</v>
      </c>
      <c r="F8" s="15" t="s">
        <v>51</v>
      </c>
      <c r="G8" s="16" t="s">
        <v>52</v>
      </c>
      <c r="H8" s="17">
        <v>46039.75525462963</v>
      </c>
      <c r="I8" s="17">
        <v>46039.80986111111</v>
      </c>
      <c r="J8" s="16" t="b">
        <v>1</v>
      </c>
    </row>
    <row r="9" ht="14.25" customHeight="1">
      <c r="A9" s="7" t="s">
        <v>53</v>
      </c>
      <c r="B9" s="7" t="s">
        <v>54</v>
      </c>
      <c r="C9" s="13" t="s">
        <v>55</v>
      </c>
      <c r="D9" s="13" t="s">
        <v>55</v>
      </c>
      <c r="E9" s="15" t="s">
        <v>50</v>
      </c>
      <c r="F9" s="14" t="s">
        <v>56</v>
      </c>
      <c r="G9" s="16" t="s">
        <v>57</v>
      </c>
      <c r="H9" s="17">
        <v>46039.76027777778</v>
      </c>
      <c r="I9" s="17">
        <v>46095.88891203704</v>
      </c>
      <c r="J9" s="16" t="b">
        <v>1</v>
      </c>
    </row>
    <row r="10" ht="14.25" customHeight="1">
      <c r="A10" s="7" t="s">
        <v>58</v>
      </c>
      <c r="B10" s="18" t="s">
        <v>59</v>
      </c>
      <c r="C10" s="13" t="s">
        <v>60</v>
      </c>
      <c r="D10" s="13" t="s">
        <v>60</v>
      </c>
      <c r="E10" s="15" t="s">
        <v>61</v>
      </c>
      <c r="F10" s="15" t="s">
        <v>62</v>
      </c>
      <c r="G10" s="16" t="s">
        <v>63</v>
      </c>
      <c r="H10" s="17">
        <v>46039.76096064815</v>
      </c>
      <c r="I10" s="17">
        <v>46151.63076388889</v>
      </c>
      <c r="J10" s="16" t="b">
        <v>1</v>
      </c>
    </row>
    <row r="11" ht="14.25" customHeight="1">
      <c r="A11" s="7" t="s">
        <v>64</v>
      </c>
      <c r="B11" s="18" t="s">
        <v>65</v>
      </c>
      <c r="C11" s="13" t="s">
        <v>66</v>
      </c>
      <c r="D11" s="13" t="s">
        <v>67</v>
      </c>
      <c r="E11" s="15" t="s">
        <v>68</v>
      </c>
      <c r="F11" s="15" t="s">
        <v>69</v>
      </c>
      <c r="G11" s="21" t="s">
        <v>70</v>
      </c>
      <c r="H11" s="22">
        <v>46039.81872685185</v>
      </c>
      <c r="I11" s="22">
        <v>46158.66916666667</v>
      </c>
      <c r="J11" s="21" t="b">
        <v>1</v>
      </c>
    </row>
    <row r="12" ht="14.25" customHeight="1">
      <c r="A12" s="7" t="s">
        <v>71</v>
      </c>
      <c r="B12" s="18" t="s">
        <v>72</v>
      </c>
      <c r="C12" s="13" t="s">
        <v>73</v>
      </c>
      <c r="D12" s="13" t="s">
        <v>73</v>
      </c>
      <c r="E12" s="15" t="s">
        <v>74</v>
      </c>
      <c r="F12" s="15" t="s">
        <v>75</v>
      </c>
      <c r="G12" s="21" t="s">
        <v>76</v>
      </c>
      <c r="H12" s="22">
        <v>46039.89111111111</v>
      </c>
      <c r="I12" s="22">
        <v>46160.54033564815</v>
      </c>
      <c r="J12" s="21" t="b">
        <v>1</v>
      </c>
    </row>
    <row r="13" ht="14.25" customHeight="1">
      <c r="A13" s="7" t="s">
        <v>77</v>
      </c>
      <c r="B13" s="7" t="s">
        <v>78</v>
      </c>
      <c r="C13" s="13" t="s">
        <v>79</v>
      </c>
      <c r="D13" s="13" t="s">
        <v>79</v>
      </c>
      <c r="E13" s="15" t="s">
        <v>80</v>
      </c>
      <c r="F13" s="15" t="s">
        <v>81</v>
      </c>
      <c r="G13" s="16" t="s">
        <v>82</v>
      </c>
      <c r="H13" s="17">
        <v>46039.90111111111</v>
      </c>
      <c r="I13" s="17">
        <v>46154.332962962966</v>
      </c>
      <c r="J13" s="16" t="b">
        <v>1</v>
      </c>
    </row>
    <row r="14" ht="14.25" customHeight="1">
      <c r="A14" s="7" t="s">
        <v>83</v>
      </c>
      <c r="B14" s="7" t="s">
        <v>84</v>
      </c>
      <c r="C14" s="13" t="s">
        <v>85</v>
      </c>
      <c r="D14" s="13" t="s">
        <v>85</v>
      </c>
      <c r="E14" s="15" t="s">
        <v>86</v>
      </c>
      <c r="F14" s="15" t="s">
        <v>87</v>
      </c>
      <c r="G14" s="16" t="s">
        <v>88</v>
      </c>
      <c r="H14" s="17">
        <v>46039.9537037037</v>
      </c>
      <c r="I14" s="17">
        <v>46145.39061342592</v>
      </c>
      <c r="J14" s="16" t="b">
        <v>1</v>
      </c>
    </row>
    <row r="15" ht="14.25" customHeight="1">
      <c r="A15" s="7" t="s">
        <v>89</v>
      </c>
      <c r="B15" s="18" t="s">
        <v>90</v>
      </c>
      <c r="C15" s="13" t="s">
        <v>91</v>
      </c>
      <c r="D15" s="13" t="s">
        <v>91</v>
      </c>
      <c r="E15" s="15" t="s">
        <v>92</v>
      </c>
      <c r="F15" s="15" t="s">
        <v>93</v>
      </c>
      <c r="G15" s="16" t="s">
        <v>94</v>
      </c>
      <c r="H15" s="17">
        <v>46039.971666666665</v>
      </c>
      <c r="I15" s="17">
        <v>46155.891122685185</v>
      </c>
      <c r="J15" s="16" t="b">
        <v>1</v>
      </c>
      <c r="N15" s="12" t="s">
        <v>45</v>
      </c>
      <c r="O15" s="19">
        <v>24.420550506051583</v>
      </c>
      <c r="P15" s="19">
        <v>54.46312538079711</v>
      </c>
      <c r="Q15" s="20" t="s">
        <v>94</v>
      </c>
    </row>
    <row r="16" ht="14.25" customHeight="1">
      <c r="A16" s="7" t="s">
        <v>95</v>
      </c>
      <c r="B16" s="18" t="s">
        <v>96</v>
      </c>
      <c r="C16" s="13" t="s">
        <v>97</v>
      </c>
      <c r="D16" s="13" t="s">
        <v>97</v>
      </c>
      <c r="E16" s="15" t="s">
        <v>98</v>
      </c>
      <c r="F16" s="15" t="s">
        <v>99</v>
      </c>
      <c r="G16" s="16" t="s">
        <v>100</v>
      </c>
      <c r="H16" s="17">
        <v>46040.03184027778</v>
      </c>
      <c r="I16" s="17">
        <v>46144.59878472222</v>
      </c>
      <c r="J16" s="16" t="b">
        <v>1</v>
      </c>
    </row>
    <row r="17" ht="14.25" customHeight="1">
      <c r="A17" s="7" t="s">
        <v>101</v>
      </c>
      <c r="B17" s="18" t="s">
        <v>102</v>
      </c>
      <c r="C17" s="13" t="s">
        <v>103</v>
      </c>
      <c r="D17" s="13" t="s">
        <v>103</v>
      </c>
      <c r="E17" s="15" t="s">
        <v>86</v>
      </c>
      <c r="F17" s="15" t="s">
        <v>104</v>
      </c>
      <c r="G17" s="16" t="s">
        <v>105</v>
      </c>
      <c r="H17" s="17">
        <v>46040.0521875</v>
      </c>
      <c r="I17" s="17">
        <v>46160.6346412037</v>
      </c>
      <c r="J17" s="16" t="b">
        <v>1</v>
      </c>
    </row>
    <row r="18" ht="14.25" customHeight="1">
      <c r="A18" s="7" t="s">
        <v>106</v>
      </c>
      <c r="B18" s="18" t="s">
        <v>107</v>
      </c>
      <c r="C18" s="13" t="s">
        <v>108</v>
      </c>
      <c r="D18" s="13" t="s">
        <v>108</v>
      </c>
      <c r="E18" s="15" t="s">
        <v>109</v>
      </c>
      <c r="F18" s="15" t="s">
        <v>110</v>
      </c>
      <c r="G18" s="16" t="s">
        <v>111</v>
      </c>
      <c r="H18" s="17">
        <v>46040.099328703705</v>
      </c>
      <c r="I18" s="17">
        <v>46124.957037037035</v>
      </c>
      <c r="J18" s="16" t="b">
        <v>1</v>
      </c>
    </row>
    <row r="19" ht="14.25" customHeight="1">
      <c r="A19" s="7" t="s">
        <v>112</v>
      </c>
      <c r="B19" s="7" t="s">
        <v>113</v>
      </c>
      <c r="C19" s="13" t="s">
        <v>114</v>
      </c>
      <c r="D19" s="13" t="s">
        <v>114</v>
      </c>
      <c r="E19" s="14" t="s">
        <v>115</v>
      </c>
      <c r="F19" s="14" t="s">
        <v>116</v>
      </c>
      <c r="G19" s="23" t="s">
        <v>117</v>
      </c>
      <c r="H19" s="17">
        <v>46040.43094907407</v>
      </c>
      <c r="I19" s="17">
        <v>46145.66174768518</v>
      </c>
      <c r="J19" s="16" t="b">
        <v>1</v>
      </c>
    </row>
    <row r="20" ht="14.25" customHeight="1">
      <c r="A20" s="7" t="s">
        <v>118</v>
      </c>
      <c r="B20" s="7" t="s">
        <v>119</v>
      </c>
      <c r="C20" s="13" t="s">
        <v>120</v>
      </c>
      <c r="D20" s="13" t="s">
        <v>120</v>
      </c>
      <c r="E20" s="14" t="s">
        <v>121</v>
      </c>
      <c r="F20" s="14" t="s">
        <v>122</v>
      </c>
      <c r="G20" s="16" t="s">
        <v>123</v>
      </c>
      <c r="H20" s="17">
        <v>46040.46802083333</v>
      </c>
      <c r="I20" s="17">
        <v>46040.473275462966</v>
      </c>
      <c r="J20" s="16" t="b">
        <v>1</v>
      </c>
    </row>
    <row r="21" ht="14.25" customHeight="1">
      <c r="A21" s="7" t="s">
        <v>124</v>
      </c>
      <c r="B21" s="7" t="s">
        <v>125</v>
      </c>
      <c r="C21" s="13" t="s">
        <v>126</v>
      </c>
      <c r="D21" s="13" t="s">
        <v>126</v>
      </c>
      <c r="E21" s="15" t="s">
        <v>127</v>
      </c>
      <c r="F21" s="15" t="s">
        <v>128</v>
      </c>
      <c r="G21" s="16" t="s">
        <v>129</v>
      </c>
      <c r="H21" s="17">
        <v>46040.584027777775</v>
      </c>
      <c r="I21" s="17">
        <v>46146.7346412037</v>
      </c>
      <c r="J21" s="16" t="b">
        <v>1</v>
      </c>
    </row>
    <row r="22" ht="14.25" customHeight="1">
      <c r="A22" s="7" t="s">
        <v>130</v>
      </c>
      <c r="B22" s="7" t="s">
        <v>131</v>
      </c>
      <c r="C22" s="13" t="s">
        <v>132</v>
      </c>
      <c r="D22" s="13" t="s">
        <v>132</v>
      </c>
      <c r="E22" s="15" t="s">
        <v>86</v>
      </c>
      <c r="F22" s="15" t="s">
        <v>133</v>
      </c>
      <c r="G22" s="16" t="s">
        <v>134</v>
      </c>
      <c r="H22" s="17">
        <v>46040.60261574074</v>
      </c>
      <c r="I22" s="17">
        <v>46160.71221064815</v>
      </c>
      <c r="J22" s="16" t="b">
        <v>1</v>
      </c>
    </row>
    <row r="23" ht="14.25" customHeight="1">
      <c r="A23" s="7" t="s">
        <v>135</v>
      </c>
      <c r="B23" s="7" t="s">
        <v>136</v>
      </c>
      <c r="C23" s="13" t="s">
        <v>137</v>
      </c>
      <c r="D23" s="13" t="s">
        <v>137</v>
      </c>
      <c r="E23" s="15" t="s">
        <v>138</v>
      </c>
      <c r="F23" s="15" t="s">
        <v>139</v>
      </c>
      <c r="G23" s="16" t="s">
        <v>140</v>
      </c>
      <c r="H23" s="17">
        <v>46040.606875</v>
      </c>
      <c r="I23" s="17">
        <v>46151.609872685185</v>
      </c>
      <c r="J23" s="16" t="b">
        <v>1</v>
      </c>
    </row>
    <row r="24" ht="14.25" customHeight="1">
      <c r="A24" s="7" t="s">
        <v>141</v>
      </c>
      <c r="B24" s="18" t="s">
        <v>142</v>
      </c>
      <c r="C24" s="13" t="s">
        <v>143</v>
      </c>
      <c r="D24" s="13" t="s">
        <v>143</v>
      </c>
      <c r="E24" s="15" t="s">
        <v>144</v>
      </c>
      <c r="F24" s="14" t="s">
        <v>145</v>
      </c>
      <c r="G24" s="16" t="s">
        <v>146</v>
      </c>
      <c r="H24" s="24">
        <v>46040.67585648148</v>
      </c>
      <c r="I24" s="24">
        <v>46060.088113425925</v>
      </c>
      <c r="J24" s="12" t="b">
        <v>1</v>
      </c>
    </row>
    <row r="25" ht="14.25" customHeight="1">
      <c r="A25" s="7" t="s">
        <v>147</v>
      </c>
      <c r="B25" s="18" t="s">
        <v>148</v>
      </c>
      <c r="C25" s="13" t="s">
        <v>149</v>
      </c>
      <c r="D25" s="13" t="s">
        <v>149</v>
      </c>
      <c r="E25" s="15" t="s">
        <v>150</v>
      </c>
      <c r="F25" s="15" t="s">
        <v>151</v>
      </c>
      <c r="G25" s="21" t="s">
        <v>152</v>
      </c>
      <c r="H25" s="24">
        <v>46040.766122685185</v>
      </c>
      <c r="I25" s="24">
        <v>46151.56207175926</v>
      </c>
      <c r="J25" s="12" t="b">
        <v>1</v>
      </c>
    </row>
    <row r="26" ht="14.25" customHeight="1">
      <c r="A26" s="7" t="s">
        <v>153</v>
      </c>
      <c r="B26" s="7" t="s">
        <v>154</v>
      </c>
      <c r="C26" s="13" t="s">
        <v>155</v>
      </c>
      <c r="D26" s="13" t="s">
        <v>155</v>
      </c>
      <c r="E26" s="15" t="s">
        <v>156</v>
      </c>
      <c r="F26" s="15" t="s">
        <v>157</v>
      </c>
      <c r="G26" s="16" t="s">
        <v>158</v>
      </c>
      <c r="H26" s="24">
        <v>46040.809699074074</v>
      </c>
      <c r="I26" s="24">
        <v>46124.653229166666</v>
      </c>
      <c r="J26" s="12" t="b">
        <v>1</v>
      </c>
    </row>
    <row r="27" ht="14.25" customHeight="1">
      <c r="A27" s="7" t="s">
        <v>159</v>
      </c>
      <c r="B27" s="18" t="s">
        <v>160</v>
      </c>
      <c r="C27" s="13" t="s">
        <v>161</v>
      </c>
      <c r="D27" s="13" t="s">
        <v>162</v>
      </c>
      <c r="E27" s="15" t="s">
        <v>163</v>
      </c>
      <c r="F27" s="15" t="s">
        <v>164</v>
      </c>
      <c r="G27" s="16" t="s">
        <v>165</v>
      </c>
      <c r="H27" s="24">
        <v>46040.81086805555</v>
      </c>
      <c r="I27" s="24">
        <v>46158.96523148148</v>
      </c>
      <c r="J27" s="12" t="b">
        <v>1</v>
      </c>
    </row>
    <row r="28" ht="14.25" customHeight="1">
      <c r="A28" s="7" t="s">
        <v>166</v>
      </c>
      <c r="B28" s="18" t="s">
        <v>167</v>
      </c>
      <c r="C28" s="13" t="s">
        <v>168</v>
      </c>
      <c r="D28" s="13" t="s">
        <v>168</v>
      </c>
      <c r="E28" s="15" t="s">
        <v>50</v>
      </c>
      <c r="F28" s="15" t="s">
        <v>169</v>
      </c>
      <c r="G28" s="16" t="s">
        <v>170</v>
      </c>
      <c r="H28" s="24">
        <v>46040.95039351852</v>
      </c>
      <c r="I28" s="24">
        <v>46159.98206018518</v>
      </c>
      <c r="J28" s="12" t="b">
        <v>1</v>
      </c>
    </row>
    <row r="29" ht="14.25" customHeight="1">
      <c r="A29" s="7" t="s">
        <v>171</v>
      </c>
      <c r="B29" s="7" t="s">
        <v>172</v>
      </c>
      <c r="C29" s="13" t="s">
        <v>173</v>
      </c>
      <c r="D29" s="13" t="s">
        <v>173</v>
      </c>
      <c r="E29" s="14" t="s">
        <v>174</v>
      </c>
      <c r="F29" s="14" t="s">
        <v>175</v>
      </c>
      <c r="G29" s="16" t="s">
        <v>176</v>
      </c>
      <c r="H29" s="24">
        <v>46040.951006944444</v>
      </c>
      <c r="I29" s="24">
        <v>46151.63414351852</v>
      </c>
      <c r="J29" s="12" t="b">
        <v>1</v>
      </c>
    </row>
    <row r="30" ht="14.25" customHeight="1">
      <c r="A30" s="7" t="s">
        <v>177</v>
      </c>
      <c r="B30" s="18" t="s">
        <v>178</v>
      </c>
      <c r="C30" s="13" t="s">
        <v>179</v>
      </c>
      <c r="D30" s="13" t="s">
        <v>180</v>
      </c>
      <c r="E30" s="15" t="s">
        <v>181</v>
      </c>
      <c r="F30" s="15" t="s">
        <v>182</v>
      </c>
      <c r="G30" s="16" t="s">
        <v>183</v>
      </c>
      <c r="H30" s="24">
        <v>46040.96356481482</v>
      </c>
      <c r="I30" s="24">
        <v>46076.041909722226</v>
      </c>
      <c r="J30" s="12" t="b">
        <v>1</v>
      </c>
    </row>
    <row r="31" ht="14.25" customHeight="1">
      <c r="A31" s="7" t="s">
        <v>184</v>
      </c>
      <c r="B31" s="7" t="s">
        <v>185</v>
      </c>
      <c r="C31" s="13" t="s">
        <v>186</v>
      </c>
      <c r="D31" s="13" t="s">
        <v>186</v>
      </c>
      <c r="E31" s="15" t="s">
        <v>187</v>
      </c>
      <c r="F31" s="15" t="s">
        <v>188</v>
      </c>
      <c r="G31" s="16" t="s">
        <v>189</v>
      </c>
      <c r="H31" s="24">
        <v>46041.03979166667</v>
      </c>
      <c r="I31" s="24">
        <v>46060.65795138889</v>
      </c>
      <c r="J31" s="12" t="b">
        <v>1</v>
      </c>
    </row>
    <row r="32" ht="14.25" customHeight="1">
      <c r="A32" s="7" t="s">
        <v>190</v>
      </c>
      <c r="B32" s="18" t="s">
        <v>191</v>
      </c>
      <c r="C32" s="13" t="s">
        <v>192</v>
      </c>
      <c r="D32" s="13" t="s">
        <v>193</v>
      </c>
      <c r="E32" s="15" t="s">
        <v>194</v>
      </c>
      <c r="F32" s="15" t="s">
        <v>195</v>
      </c>
      <c r="G32" s="16" t="s">
        <v>196</v>
      </c>
      <c r="H32" s="24">
        <v>46041.078831018516</v>
      </c>
      <c r="I32" s="24">
        <v>46160.7134375</v>
      </c>
      <c r="J32" s="12" t="b">
        <v>1</v>
      </c>
    </row>
    <row r="33" ht="14.25" customHeight="1">
      <c r="A33" s="7" t="s">
        <v>197</v>
      </c>
      <c r="B33" s="7" t="s">
        <v>198</v>
      </c>
      <c r="C33" s="13" t="s">
        <v>199</v>
      </c>
      <c r="D33" s="13" t="s">
        <v>199</v>
      </c>
      <c r="E33" s="14" t="s">
        <v>200</v>
      </c>
      <c r="F33" s="14" t="s">
        <v>201</v>
      </c>
      <c r="G33" s="16" t="s">
        <v>202</v>
      </c>
      <c r="H33" s="24">
        <v>46041.30993055556</v>
      </c>
      <c r="I33" s="24">
        <v>46042.61056712963</v>
      </c>
      <c r="J33" s="12" t="b">
        <v>1</v>
      </c>
    </row>
    <row r="34" ht="14.25" customHeight="1">
      <c r="A34" s="7" t="s">
        <v>203</v>
      </c>
      <c r="B34" s="7" t="s">
        <v>204</v>
      </c>
      <c r="C34" s="13" t="s">
        <v>205</v>
      </c>
      <c r="D34" s="13" t="s">
        <v>206</v>
      </c>
      <c r="E34" s="15" t="s">
        <v>50</v>
      </c>
      <c r="F34" s="15" t="s">
        <v>207</v>
      </c>
      <c r="G34" s="16" t="s">
        <v>208</v>
      </c>
      <c r="H34" s="24">
        <v>46041.392488425925</v>
      </c>
      <c r="I34" s="24">
        <v>46160.788622685184</v>
      </c>
      <c r="J34" s="12" t="b">
        <v>1</v>
      </c>
    </row>
    <row r="35" ht="14.25" customHeight="1">
      <c r="A35" s="7" t="s">
        <v>209</v>
      </c>
      <c r="B35" s="18" t="s">
        <v>210</v>
      </c>
      <c r="C35" s="13" t="s">
        <v>211</v>
      </c>
      <c r="D35" s="13" t="s">
        <v>211</v>
      </c>
      <c r="E35" s="15" t="s">
        <v>74</v>
      </c>
      <c r="F35" s="15" t="s">
        <v>212</v>
      </c>
      <c r="G35" s="16" t="s">
        <v>213</v>
      </c>
      <c r="H35" s="24">
        <v>46041.41116898148</v>
      </c>
      <c r="I35" s="24">
        <v>46041.41116898148</v>
      </c>
      <c r="J35" s="12" t="b">
        <v>1</v>
      </c>
    </row>
    <row r="36" ht="19.5" customHeight="1">
      <c r="A36" s="7" t="s">
        <v>214</v>
      </c>
      <c r="B36" s="18" t="s">
        <v>215</v>
      </c>
      <c r="C36" s="25" t="s">
        <v>216</v>
      </c>
      <c r="D36" s="13" t="s">
        <v>216</v>
      </c>
      <c r="E36" s="15" t="s">
        <v>217</v>
      </c>
      <c r="F36" s="15" t="s">
        <v>217</v>
      </c>
      <c r="G36" s="16" t="s">
        <v>218</v>
      </c>
      <c r="H36" s="26">
        <v>46041.44914351852</v>
      </c>
      <c r="I36" s="26">
        <v>46041.44914351852</v>
      </c>
      <c r="J36" s="7" t="b">
        <v>1</v>
      </c>
      <c r="K36" s="27"/>
      <c r="L36" s="27"/>
      <c r="M36" s="27"/>
      <c r="N36" s="27"/>
      <c r="O36" s="28"/>
      <c r="P36" s="28"/>
      <c r="Q36" s="27"/>
      <c r="R36" s="27"/>
      <c r="S36" s="27"/>
      <c r="T36" s="27"/>
      <c r="U36" s="27"/>
      <c r="V36" s="27"/>
      <c r="W36" s="27"/>
      <c r="X36" s="27"/>
      <c r="Y36" s="27"/>
      <c r="Z36" s="27"/>
    </row>
    <row r="37" ht="19.5" customHeight="1">
      <c r="A37" s="7" t="s">
        <v>219</v>
      </c>
      <c r="B37" s="18" t="s">
        <v>220</v>
      </c>
      <c r="C37" s="25" t="s">
        <v>221</v>
      </c>
      <c r="D37" s="13" t="s">
        <v>221</v>
      </c>
      <c r="E37" s="15" t="s">
        <v>181</v>
      </c>
      <c r="F37" s="15" t="s">
        <v>222</v>
      </c>
      <c r="G37" s="16" t="s">
        <v>223</v>
      </c>
      <c r="H37" s="26">
        <v>46041.49596064815</v>
      </c>
      <c r="I37" s="26">
        <v>46138.68761574074</v>
      </c>
      <c r="J37" s="7" t="b">
        <v>1</v>
      </c>
      <c r="K37" s="27"/>
      <c r="L37" s="27"/>
      <c r="M37" s="27"/>
      <c r="N37" s="27"/>
      <c r="O37" s="28"/>
      <c r="P37" s="28"/>
      <c r="Q37" s="27"/>
      <c r="R37" s="27"/>
      <c r="S37" s="27"/>
      <c r="T37" s="27"/>
      <c r="U37" s="27"/>
      <c r="V37" s="27"/>
      <c r="W37" s="27"/>
      <c r="X37" s="27"/>
      <c r="Y37" s="27"/>
      <c r="Z37" s="27"/>
    </row>
    <row r="38" ht="14.25" customHeight="1">
      <c r="A38" s="7" t="s">
        <v>224</v>
      </c>
      <c r="B38" s="18" t="s">
        <v>225</v>
      </c>
      <c r="C38" s="13" t="s">
        <v>226</v>
      </c>
      <c r="D38" s="13" t="s">
        <v>226</v>
      </c>
      <c r="E38" s="15" t="s">
        <v>227</v>
      </c>
      <c r="F38" s="15" t="s">
        <v>228</v>
      </c>
      <c r="G38" s="16" t="s">
        <v>229</v>
      </c>
      <c r="H38" s="24">
        <v>46041.5865625</v>
      </c>
      <c r="I38" s="24">
        <v>46123.81508101852</v>
      </c>
      <c r="J38" s="12" t="b">
        <v>1</v>
      </c>
    </row>
    <row r="39" ht="14.25" customHeight="1">
      <c r="A39" s="7" t="s">
        <v>230</v>
      </c>
      <c r="B39" s="7" t="s">
        <v>231</v>
      </c>
      <c r="C39" s="13" t="s">
        <v>232</v>
      </c>
      <c r="D39" s="13" t="s">
        <v>232</v>
      </c>
      <c r="E39" s="15" t="s">
        <v>233</v>
      </c>
      <c r="F39" s="14" t="s">
        <v>234</v>
      </c>
      <c r="G39" s="16" t="s">
        <v>235</v>
      </c>
      <c r="H39" s="24">
        <v>46042.541666666664</v>
      </c>
      <c r="I39" s="24">
        <v>46091.15572916667</v>
      </c>
      <c r="J39" s="12" t="b">
        <v>1</v>
      </c>
    </row>
    <row r="40" ht="14.25" customHeight="1">
      <c r="A40" s="7" t="s">
        <v>236</v>
      </c>
      <c r="B40" s="18" t="s">
        <v>237</v>
      </c>
      <c r="C40" s="13" t="s">
        <v>238</v>
      </c>
      <c r="D40" s="13" t="s">
        <v>238</v>
      </c>
      <c r="E40" s="15" t="s">
        <v>98</v>
      </c>
      <c r="F40" s="15" t="s">
        <v>239</v>
      </c>
      <c r="G40" s="16" t="s">
        <v>240</v>
      </c>
      <c r="H40" s="24">
        <v>46042.585625</v>
      </c>
      <c r="I40" s="24">
        <v>46135.88023148148</v>
      </c>
      <c r="J40" s="12" t="b">
        <v>1</v>
      </c>
    </row>
    <row r="41" ht="14.25" customHeight="1">
      <c r="A41" s="7" t="s">
        <v>241</v>
      </c>
      <c r="B41" s="18" t="s">
        <v>242</v>
      </c>
      <c r="C41" s="13" t="s">
        <v>243</v>
      </c>
      <c r="D41" s="13" t="s">
        <v>243</v>
      </c>
      <c r="E41" s="15" t="s">
        <v>194</v>
      </c>
      <c r="F41" s="15" t="s">
        <v>244</v>
      </c>
      <c r="G41" s="16" t="s">
        <v>245</v>
      </c>
      <c r="H41" s="24">
        <v>46042.60611111111</v>
      </c>
      <c r="I41" s="24">
        <v>46145.90584490741</v>
      </c>
      <c r="J41" s="12" t="b">
        <v>1</v>
      </c>
    </row>
    <row r="42" ht="14.25" customHeight="1">
      <c r="A42" s="7" t="s">
        <v>246</v>
      </c>
      <c r="B42" s="7" t="s">
        <v>247</v>
      </c>
      <c r="C42" s="13" t="s">
        <v>248</v>
      </c>
      <c r="D42" s="13" t="s">
        <v>248</v>
      </c>
      <c r="E42" s="15" t="s">
        <v>50</v>
      </c>
      <c r="F42" s="14" t="s">
        <v>249</v>
      </c>
      <c r="G42" s="16" t="s">
        <v>250</v>
      </c>
      <c r="H42" s="24">
        <v>46042.75828703704</v>
      </c>
      <c r="I42" s="24">
        <v>46145.59388888889</v>
      </c>
      <c r="J42" s="12" t="b">
        <v>1</v>
      </c>
    </row>
    <row r="43" ht="14.25" customHeight="1">
      <c r="A43" s="7" t="s">
        <v>251</v>
      </c>
      <c r="B43" s="18" t="s">
        <v>252</v>
      </c>
      <c r="C43" s="13" t="s">
        <v>253</v>
      </c>
      <c r="D43" s="13" t="s">
        <v>253</v>
      </c>
      <c r="E43" s="15" t="s">
        <v>254</v>
      </c>
      <c r="F43" s="15" t="s">
        <v>255</v>
      </c>
      <c r="G43" s="16" t="s">
        <v>256</v>
      </c>
      <c r="H43" s="24">
        <v>46042.7696875</v>
      </c>
      <c r="I43" s="24">
        <v>46151.75898148148</v>
      </c>
      <c r="J43" s="12" t="b">
        <v>1</v>
      </c>
    </row>
    <row r="44" ht="14.25" customHeight="1">
      <c r="A44" s="7" t="s">
        <v>257</v>
      </c>
      <c r="B44" s="7" t="s">
        <v>258</v>
      </c>
      <c r="C44" s="13" t="s">
        <v>259</v>
      </c>
      <c r="D44" s="13" t="s">
        <v>259</v>
      </c>
      <c r="E44" s="15" t="s">
        <v>260</v>
      </c>
      <c r="F44" s="15" t="s">
        <v>261</v>
      </c>
      <c r="G44" s="16" t="s">
        <v>262</v>
      </c>
      <c r="H44" s="24">
        <v>46042.78372685185</v>
      </c>
      <c r="I44" s="24">
        <v>46042.795590277776</v>
      </c>
      <c r="J44" s="12" t="b">
        <v>1</v>
      </c>
    </row>
    <row r="45" ht="14.25" customHeight="1">
      <c r="A45" s="7" t="s">
        <v>263</v>
      </c>
      <c r="B45" s="18" t="s">
        <v>264</v>
      </c>
      <c r="C45" s="13" t="s">
        <v>265</v>
      </c>
      <c r="D45" s="13" t="s">
        <v>265</v>
      </c>
      <c r="E45" s="15" t="s">
        <v>266</v>
      </c>
      <c r="F45" s="15" t="s">
        <v>267</v>
      </c>
      <c r="G45" s="16" t="s">
        <v>268</v>
      </c>
      <c r="H45" s="24">
        <v>46045.4930787037</v>
      </c>
      <c r="I45" s="24">
        <v>46045.506736111114</v>
      </c>
      <c r="J45" s="12" t="b">
        <v>1</v>
      </c>
    </row>
    <row r="46" ht="14.25" customHeight="1">
      <c r="A46" s="7" t="s">
        <v>269</v>
      </c>
      <c r="B46" s="18" t="s">
        <v>270</v>
      </c>
      <c r="C46" s="13" t="s">
        <v>271</v>
      </c>
      <c r="D46" s="13" t="s">
        <v>271</v>
      </c>
      <c r="E46" s="15" t="s">
        <v>86</v>
      </c>
      <c r="F46" s="14" t="s">
        <v>272</v>
      </c>
      <c r="G46" s="16" t="s">
        <v>273</v>
      </c>
      <c r="H46" s="24">
        <v>46045.498935185184</v>
      </c>
      <c r="I46" s="24">
        <v>46091.51613425926</v>
      </c>
      <c r="J46" s="12" t="b">
        <v>1</v>
      </c>
    </row>
    <row r="47" ht="14.25" customHeight="1">
      <c r="A47" s="7" t="s">
        <v>274</v>
      </c>
      <c r="B47" s="7" t="s">
        <v>275</v>
      </c>
      <c r="C47" s="13" t="s">
        <v>276</v>
      </c>
      <c r="D47" s="13" t="s">
        <v>276</v>
      </c>
      <c r="E47" s="15" t="s">
        <v>277</v>
      </c>
      <c r="F47" s="14" t="s">
        <v>278</v>
      </c>
      <c r="G47" s="16" t="s">
        <v>279</v>
      </c>
      <c r="H47" s="24">
        <v>46045.67931712963</v>
      </c>
      <c r="I47" s="24">
        <v>46138.57892361111</v>
      </c>
      <c r="J47" s="12" t="b">
        <v>1</v>
      </c>
    </row>
    <row r="48" ht="14.25" customHeight="1">
      <c r="A48" s="7" t="s">
        <v>280</v>
      </c>
      <c r="B48" s="7" t="s">
        <v>281</v>
      </c>
      <c r="C48" s="13" t="s">
        <v>282</v>
      </c>
      <c r="D48" s="13" t="s">
        <v>282</v>
      </c>
      <c r="E48" s="15" t="s">
        <v>283</v>
      </c>
      <c r="F48" s="15" t="s">
        <v>284</v>
      </c>
      <c r="G48" s="16" t="s">
        <v>285</v>
      </c>
      <c r="H48" s="24">
        <v>46045.74408564815</v>
      </c>
      <c r="I48" s="24">
        <v>46154.81115740741</v>
      </c>
      <c r="J48" s="12" t="b">
        <v>1</v>
      </c>
    </row>
    <row r="49" ht="14.25" customHeight="1">
      <c r="A49" s="7" t="s">
        <v>286</v>
      </c>
      <c r="B49" s="18" t="s">
        <v>287</v>
      </c>
      <c r="C49" s="13" t="s">
        <v>288</v>
      </c>
      <c r="D49" s="13" t="s">
        <v>288</v>
      </c>
      <c r="E49" s="15" t="s">
        <v>289</v>
      </c>
      <c r="F49" s="15" t="s">
        <v>290</v>
      </c>
      <c r="G49" s="16" t="s">
        <v>291</v>
      </c>
      <c r="H49" s="24">
        <v>46045.878113425926</v>
      </c>
      <c r="I49" s="24">
        <v>46146.55716435185</v>
      </c>
      <c r="J49" s="12" t="b">
        <v>1</v>
      </c>
    </row>
    <row r="50" ht="14.25" customHeight="1">
      <c r="A50" s="7" t="s">
        <v>292</v>
      </c>
      <c r="B50" s="7" t="s">
        <v>293</v>
      </c>
      <c r="C50" s="13" t="s">
        <v>294</v>
      </c>
      <c r="D50" s="13" t="s">
        <v>294</v>
      </c>
      <c r="E50" s="15" t="s">
        <v>50</v>
      </c>
      <c r="F50" s="15" t="s">
        <v>295</v>
      </c>
      <c r="G50" s="16" t="s">
        <v>296</v>
      </c>
      <c r="H50" s="24">
        <v>46046.053298611114</v>
      </c>
      <c r="I50" s="24">
        <v>46046.05719907407</v>
      </c>
      <c r="J50" s="12" t="b">
        <v>1</v>
      </c>
    </row>
    <row r="51" ht="14.25" customHeight="1">
      <c r="A51" s="7" t="s">
        <v>297</v>
      </c>
      <c r="B51" s="18" t="s">
        <v>298</v>
      </c>
      <c r="C51" s="13" t="s">
        <v>299</v>
      </c>
      <c r="D51" s="13" t="s">
        <v>299</v>
      </c>
      <c r="E51" s="15" t="s">
        <v>300</v>
      </c>
      <c r="F51" s="15" t="s">
        <v>301</v>
      </c>
      <c r="G51" s="16" t="s">
        <v>302</v>
      </c>
      <c r="H51" s="24">
        <v>46046.39026620371</v>
      </c>
      <c r="I51" s="24">
        <v>46159.818136574075</v>
      </c>
      <c r="J51" s="12" t="b">
        <v>1</v>
      </c>
    </row>
    <row r="52" ht="14.25" customHeight="1">
      <c r="A52" s="7" t="s">
        <v>303</v>
      </c>
      <c r="B52" s="18" t="s">
        <v>304</v>
      </c>
      <c r="C52" s="13" t="s">
        <v>305</v>
      </c>
      <c r="D52" s="13" t="s">
        <v>305</v>
      </c>
      <c r="E52" s="15" t="s">
        <v>306</v>
      </c>
      <c r="F52" s="15" t="s">
        <v>307</v>
      </c>
      <c r="G52" s="16" t="s">
        <v>308</v>
      </c>
      <c r="H52" s="24">
        <v>46046.54619212963</v>
      </c>
      <c r="I52" s="24">
        <v>46089.93605324074</v>
      </c>
      <c r="J52" s="12" t="b">
        <v>1</v>
      </c>
    </row>
    <row r="53" ht="14.25" customHeight="1">
      <c r="A53" s="7" t="s">
        <v>309</v>
      </c>
      <c r="B53" s="7" t="s">
        <v>310</v>
      </c>
      <c r="C53" s="13" t="s">
        <v>311</v>
      </c>
      <c r="D53" s="13" t="s">
        <v>311</v>
      </c>
      <c r="E53" s="15" t="s">
        <v>312</v>
      </c>
      <c r="F53" s="15" t="s">
        <v>313</v>
      </c>
      <c r="G53" s="16" t="s">
        <v>314</v>
      </c>
      <c r="H53" s="24">
        <v>46046.75144675926</v>
      </c>
      <c r="I53" s="24">
        <v>46083.197060185186</v>
      </c>
      <c r="J53" s="12" t="b">
        <v>1</v>
      </c>
    </row>
    <row r="54" ht="14.25" customHeight="1">
      <c r="A54" s="7" t="s">
        <v>315</v>
      </c>
      <c r="B54" s="18" t="s">
        <v>316</v>
      </c>
      <c r="C54" s="13" t="s">
        <v>317</v>
      </c>
      <c r="D54" s="13" t="s">
        <v>317</v>
      </c>
      <c r="E54" s="15" t="s">
        <v>318</v>
      </c>
      <c r="F54" s="15" t="s">
        <v>319</v>
      </c>
      <c r="G54" s="21" t="s">
        <v>320</v>
      </c>
      <c r="H54" s="24">
        <v>46046.75341435185</v>
      </c>
      <c r="I54" s="24">
        <v>46150.48390046296</v>
      </c>
      <c r="J54" s="12" t="b">
        <v>1</v>
      </c>
    </row>
    <row r="55" ht="14.25" customHeight="1">
      <c r="A55" s="7" t="s">
        <v>321</v>
      </c>
      <c r="B55" s="18" t="s">
        <v>322</v>
      </c>
      <c r="C55" s="13" t="s">
        <v>323</v>
      </c>
      <c r="D55" s="13" t="s">
        <v>323</v>
      </c>
      <c r="E55" s="15" t="s">
        <v>324</v>
      </c>
      <c r="F55" s="15" t="s">
        <v>325</v>
      </c>
      <c r="G55" s="16" t="s">
        <v>326</v>
      </c>
      <c r="H55" s="24">
        <v>46046.78637731481</v>
      </c>
      <c r="I55" s="24">
        <v>46048.46938657408</v>
      </c>
      <c r="J55" s="12" t="b">
        <v>1</v>
      </c>
    </row>
    <row r="56" ht="14.25" customHeight="1">
      <c r="A56" s="7" t="s">
        <v>327</v>
      </c>
      <c r="B56" s="18" t="s">
        <v>328</v>
      </c>
      <c r="C56" s="13" t="s">
        <v>329</v>
      </c>
      <c r="D56" s="13" t="s">
        <v>329</v>
      </c>
      <c r="E56" s="15" t="s">
        <v>50</v>
      </c>
      <c r="F56" s="15" t="s">
        <v>330</v>
      </c>
      <c r="G56" s="16" t="s">
        <v>331</v>
      </c>
      <c r="H56" s="24">
        <v>46046.891331018516</v>
      </c>
      <c r="I56" s="24">
        <v>46155.75679398148</v>
      </c>
      <c r="J56" s="12" t="b">
        <v>1</v>
      </c>
    </row>
    <row r="57" ht="14.25" customHeight="1">
      <c r="A57" s="7" t="s">
        <v>332</v>
      </c>
      <c r="B57" s="7" t="s">
        <v>333</v>
      </c>
      <c r="C57" s="13" t="s">
        <v>334</v>
      </c>
      <c r="D57" s="13" t="s">
        <v>334</v>
      </c>
      <c r="E57" s="15" t="s">
        <v>187</v>
      </c>
      <c r="F57" s="15" t="s">
        <v>335</v>
      </c>
      <c r="G57" s="16" t="s">
        <v>336</v>
      </c>
      <c r="H57" s="24">
        <v>46046.895902777775</v>
      </c>
      <c r="I57" s="24">
        <v>46131.49659722222</v>
      </c>
      <c r="J57" s="12" t="b">
        <v>1</v>
      </c>
    </row>
    <row r="58" ht="14.25" customHeight="1">
      <c r="A58" s="7" t="s">
        <v>337</v>
      </c>
      <c r="B58" s="7" t="s">
        <v>338</v>
      </c>
      <c r="C58" s="13" t="s">
        <v>339</v>
      </c>
      <c r="D58" s="13" t="s">
        <v>339</v>
      </c>
      <c r="E58" s="15" t="s">
        <v>340</v>
      </c>
      <c r="F58" s="15" t="s">
        <v>341</v>
      </c>
      <c r="G58" s="16" t="s">
        <v>342</v>
      </c>
      <c r="H58" s="24">
        <v>46047.42103009259</v>
      </c>
      <c r="I58" s="24">
        <v>46161.71802083333</v>
      </c>
      <c r="J58" s="12" t="b">
        <v>1</v>
      </c>
    </row>
    <row r="59" ht="14.25" customHeight="1">
      <c r="A59" s="7" t="s">
        <v>343</v>
      </c>
      <c r="B59" s="18" t="s">
        <v>344</v>
      </c>
      <c r="C59" s="13" t="s">
        <v>345</v>
      </c>
      <c r="D59" s="13" t="s">
        <v>345</v>
      </c>
      <c r="E59" s="15" t="s">
        <v>346</v>
      </c>
      <c r="F59" s="14" t="s">
        <v>347</v>
      </c>
      <c r="G59" s="16" t="s">
        <v>348</v>
      </c>
      <c r="H59" s="24">
        <v>46047.54791666667</v>
      </c>
      <c r="I59" s="24">
        <v>46139.48888888889</v>
      </c>
      <c r="J59" s="12" t="b">
        <v>1</v>
      </c>
    </row>
    <row r="60" ht="14.25" customHeight="1">
      <c r="A60" s="7" t="s">
        <v>349</v>
      </c>
      <c r="B60" s="18" t="s">
        <v>350</v>
      </c>
      <c r="C60" s="13" t="s">
        <v>351</v>
      </c>
      <c r="D60" s="13" t="s">
        <v>351</v>
      </c>
      <c r="E60" s="15" t="s">
        <v>181</v>
      </c>
      <c r="F60" s="14" t="s">
        <v>352</v>
      </c>
      <c r="G60" s="16" t="s">
        <v>353</v>
      </c>
      <c r="H60" s="24">
        <v>46047.78270833333</v>
      </c>
      <c r="I60" s="24">
        <v>46124.6153125</v>
      </c>
      <c r="J60" s="12" t="b">
        <v>1</v>
      </c>
    </row>
    <row r="61" ht="14.25" customHeight="1">
      <c r="A61" s="7" t="s">
        <v>354</v>
      </c>
      <c r="B61" s="18" t="s">
        <v>355</v>
      </c>
      <c r="C61" s="13" t="s">
        <v>356</v>
      </c>
      <c r="D61" s="13" t="s">
        <v>356</v>
      </c>
      <c r="E61" s="15" t="s">
        <v>357</v>
      </c>
      <c r="F61" s="15" t="s">
        <v>358</v>
      </c>
      <c r="G61" s="16" t="s">
        <v>359</v>
      </c>
      <c r="H61" s="24">
        <v>46048.504594907405</v>
      </c>
      <c r="I61" s="24">
        <v>46151.696608796294</v>
      </c>
      <c r="J61" s="12" t="b">
        <v>1</v>
      </c>
    </row>
    <row r="62" ht="14.25" customHeight="1">
      <c r="A62" s="7" t="s">
        <v>360</v>
      </c>
      <c r="B62" s="7" t="s">
        <v>361</v>
      </c>
      <c r="C62" s="13" t="s">
        <v>362</v>
      </c>
      <c r="D62" s="13" t="s">
        <v>362</v>
      </c>
      <c r="E62" s="14" t="s">
        <v>363</v>
      </c>
      <c r="F62" s="14" t="s">
        <v>364</v>
      </c>
      <c r="G62" s="16" t="s">
        <v>365</v>
      </c>
      <c r="H62" s="24">
        <v>46055.868159722224</v>
      </c>
      <c r="I62" s="24">
        <v>46130.070752314816</v>
      </c>
      <c r="J62" s="12" t="b">
        <v>1</v>
      </c>
    </row>
    <row r="63" ht="14.25" customHeight="1">
      <c r="A63" s="7" t="s">
        <v>366</v>
      </c>
      <c r="B63" s="18" t="s">
        <v>367</v>
      </c>
      <c r="C63" s="13" t="s">
        <v>368</v>
      </c>
      <c r="D63" s="13" t="s">
        <v>368</v>
      </c>
      <c r="E63" s="15" t="s">
        <v>369</v>
      </c>
      <c r="F63" s="15" t="s">
        <v>370</v>
      </c>
      <c r="G63" s="16" t="s">
        <v>371</v>
      </c>
      <c r="H63" s="24">
        <v>46058.63363425926</v>
      </c>
      <c r="I63" s="24">
        <v>46151.66263888889</v>
      </c>
      <c r="J63" s="12" t="b">
        <v>1</v>
      </c>
    </row>
    <row r="64" ht="14.25" customHeight="1">
      <c r="A64" s="7" t="s">
        <v>372</v>
      </c>
      <c r="B64" s="18" t="s">
        <v>373</v>
      </c>
      <c r="C64" s="13" t="s">
        <v>374</v>
      </c>
      <c r="D64" s="13" t="s">
        <v>374</v>
      </c>
      <c r="E64" s="15" t="s">
        <v>375</v>
      </c>
      <c r="F64" s="15" t="s">
        <v>376</v>
      </c>
      <c r="G64" s="16" t="s">
        <v>377</v>
      </c>
      <c r="H64" s="24">
        <v>46058.730150462965</v>
      </c>
      <c r="I64" s="24">
        <v>46159.221724537034</v>
      </c>
      <c r="J64" s="12" t="b">
        <v>1</v>
      </c>
    </row>
    <row r="65" ht="14.25" customHeight="1">
      <c r="A65" s="7" t="s">
        <v>378</v>
      </c>
      <c r="B65" s="7" t="s">
        <v>379</v>
      </c>
      <c r="C65" s="13" t="s">
        <v>380</v>
      </c>
      <c r="D65" s="13" t="s">
        <v>380</v>
      </c>
      <c r="E65" s="15" t="s">
        <v>381</v>
      </c>
      <c r="F65" s="15" t="s">
        <v>382</v>
      </c>
      <c r="G65" s="16" t="s">
        <v>383</v>
      </c>
      <c r="H65" s="24">
        <v>46058.736608796295</v>
      </c>
      <c r="I65" s="24">
        <v>46139.82320601852</v>
      </c>
      <c r="J65" s="12" t="b">
        <v>1</v>
      </c>
    </row>
    <row r="66" ht="14.25" customHeight="1">
      <c r="A66" s="7" t="s">
        <v>384</v>
      </c>
      <c r="B66" s="18" t="s">
        <v>385</v>
      </c>
      <c r="C66" s="13" t="s">
        <v>386</v>
      </c>
      <c r="D66" s="13" t="s">
        <v>386</v>
      </c>
      <c r="E66" s="15" t="s">
        <v>387</v>
      </c>
      <c r="F66" s="15" t="s">
        <v>388</v>
      </c>
      <c r="G66" s="16" t="s">
        <v>389</v>
      </c>
      <c r="H66" s="24">
        <v>46058.745416666665</v>
      </c>
      <c r="I66" s="24">
        <v>46124.57184027778</v>
      </c>
      <c r="J66" s="12" t="b">
        <v>1</v>
      </c>
    </row>
    <row r="67" ht="14.25" customHeight="1">
      <c r="A67" s="7" t="s">
        <v>390</v>
      </c>
      <c r="B67" s="18" t="s">
        <v>391</v>
      </c>
      <c r="C67" s="13" t="s">
        <v>392</v>
      </c>
      <c r="D67" s="13" t="s">
        <v>392</v>
      </c>
      <c r="E67" s="15" t="s">
        <v>393</v>
      </c>
      <c r="F67" s="15" t="s">
        <v>394</v>
      </c>
      <c r="G67" s="16" t="s">
        <v>395</v>
      </c>
      <c r="H67" s="24">
        <v>46058.7484375</v>
      </c>
      <c r="I67" s="24">
        <v>46151.569814814815</v>
      </c>
      <c r="J67" s="12" t="b">
        <v>1</v>
      </c>
    </row>
    <row r="68" ht="14.25" customHeight="1">
      <c r="A68" s="7" t="s">
        <v>396</v>
      </c>
      <c r="B68" s="7" t="s">
        <v>397</v>
      </c>
      <c r="C68" s="13" t="s">
        <v>398</v>
      </c>
      <c r="D68" s="13" t="s">
        <v>398</v>
      </c>
      <c r="E68" s="15" t="s">
        <v>266</v>
      </c>
      <c r="F68" s="15" t="s">
        <v>399</v>
      </c>
      <c r="G68" s="16" t="s">
        <v>400</v>
      </c>
      <c r="H68" s="24">
        <v>46058.750601851854</v>
      </c>
      <c r="I68" s="24">
        <v>46153.92922453704</v>
      </c>
      <c r="J68" s="12" t="b">
        <v>1</v>
      </c>
    </row>
    <row r="69" ht="14.25" customHeight="1">
      <c r="A69" s="7" t="s">
        <v>401</v>
      </c>
      <c r="B69" s="7" t="s">
        <v>402</v>
      </c>
      <c r="C69" s="13" t="s">
        <v>403</v>
      </c>
      <c r="D69" s="13" t="s">
        <v>403</v>
      </c>
      <c r="E69" s="15" t="s">
        <v>181</v>
      </c>
      <c r="F69" s="15" t="s">
        <v>404</v>
      </c>
      <c r="G69" s="16" t="s">
        <v>405</v>
      </c>
      <c r="H69" s="24">
        <v>46058.753657407404</v>
      </c>
      <c r="I69" s="24">
        <v>46157.57921296296</v>
      </c>
      <c r="J69" s="12" t="b">
        <v>1</v>
      </c>
    </row>
    <row r="70" ht="14.25" customHeight="1">
      <c r="A70" s="7" t="s">
        <v>406</v>
      </c>
      <c r="B70" s="18" t="s">
        <v>407</v>
      </c>
      <c r="C70" s="29" t="s">
        <v>408</v>
      </c>
      <c r="D70" s="29" t="s">
        <v>408</v>
      </c>
      <c r="E70" s="15" t="s">
        <v>61</v>
      </c>
      <c r="F70" s="15" t="s">
        <v>409</v>
      </c>
      <c r="G70" s="16" t="s">
        <v>410</v>
      </c>
      <c r="I70" s="24">
        <v>46155.96454861111</v>
      </c>
    </row>
    <row r="71" ht="14.25" customHeight="1">
      <c r="A71" s="7" t="s">
        <v>411</v>
      </c>
      <c r="B71" s="18" t="s">
        <v>412</v>
      </c>
      <c r="C71" s="13" t="s">
        <v>413</v>
      </c>
      <c r="D71" s="13" t="s">
        <v>413</v>
      </c>
      <c r="E71" s="15" t="s">
        <v>414</v>
      </c>
      <c r="F71" s="15" t="s">
        <v>415</v>
      </c>
      <c r="G71" s="16" t="s">
        <v>416</v>
      </c>
      <c r="H71" s="24">
        <v>46058.761342592596</v>
      </c>
      <c r="I71" s="24">
        <v>46159.075266203705</v>
      </c>
      <c r="J71" s="12" t="b">
        <v>1</v>
      </c>
    </row>
    <row r="72" ht="14.25" customHeight="1">
      <c r="A72" s="7" t="s">
        <v>417</v>
      </c>
      <c r="B72" s="18" t="s">
        <v>418</v>
      </c>
      <c r="C72" s="13" t="s">
        <v>419</v>
      </c>
      <c r="D72" s="13" t="s">
        <v>419</v>
      </c>
      <c r="E72" s="15" t="s">
        <v>375</v>
      </c>
      <c r="F72" s="15" t="s">
        <v>420</v>
      </c>
      <c r="G72" s="16" t="s">
        <v>421</v>
      </c>
      <c r="H72" s="24">
        <v>46058.77390046296</v>
      </c>
      <c r="I72" s="24">
        <v>46074.79620370371</v>
      </c>
      <c r="J72" s="12" t="b">
        <v>1</v>
      </c>
    </row>
    <row r="73" ht="14.25" customHeight="1">
      <c r="A73" s="7" t="s">
        <v>422</v>
      </c>
      <c r="B73" s="18" t="s">
        <v>423</v>
      </c>
      <c r="C73" s="13" t="s">
        <v>424</v>
      </c>
      <c r="D73" s="13" t="s">
        <v>424</v>
      </c>
      <c r="E73" s="15" t="s">
        <v>425</v>
      </c>
      <c r="F73" s="15" t="s">
        <v>426</v>
      </c>
      <c r="G73" s="16" t="s">
        <v>427</v>
      </c>
      <c r="H73" s="24"/>
      <c r="I73" s="24">
        <v>46160.76212962963</v>
      </c>
      <c r="J73" s="12"/>
    </row>
    <row r="74" ht="14.25" customHeight="1">
      <c r="A74" s="7" t="s">
        <v>428</v>
      </c>
      <c r="B74" s="18" t="s">
        <v>429</v>
      </c>
      <c r="C74" s="13" t="s">
        <v>392</v>
      </c>
      <c r="D74" s="13" t="s">
        <v>392</v>
      </c>
      <c r="E74" s="15" t="s">
        <v>430</v>
      </c>
      <c r="F74" s="15" t="s">
        <v>431</v>
      </c>
      <c r="G74" s="16" t="s">
        <v>432</v>
      </c>
      <c r="H74" s="24">
        <v>46058.785995370374</v>
      </c>
      <c r="I74" s="24">
        <v>46058.785995370374</v>
      </c>
      <c r="J74" s="12" t="b">
        <v>1</v>
      </c>
    </row>
    <row r="75" ht="14.25" customHeight="1">
      <c r="A75" s="7" t="s">
        <v>433</v>
      </c>
      <c r="B75" s="18" t="s">
        <v>434</v>
      </c>
      <c r="C75" s="13" t="s">
        <v>435</v>
      </c>
      <c r="D75" s="13" t="s">
        <v>435</v>
      </c>
      <c r="E75" s="15" t="s">
        <v>194</v>
      </c>
      <c r="F75" s="15" t="s">
        <v>436</v>
      </c>
      <c r="G75" s="16" t="s">
        <v>437</v>
      </c>
      <c r="H75" s="24">
        <v>46058.79939814815</v>
      </c>
      <c r="I75" s="24">
        <v>46058.87913194444</v>
      </c>
      <c r="J75" s="12" t="b">
        <v>1</v>
      </c>
    </row>
    <row r="76" ht="14.25" customHeight="1">
      <c r="A76" s="7" t="s">
        <v>438</v>
      </c>
      <c r="B76" s="7" t="s">
        <v>439</v>
      </c>
      <c r="C76" s="13" t="s">
        <v>440</v>
      </c>
      <c r="D76" s="13" t="s">
        <v>440</v>
      </c>
      <c r="E76" s="14" t="s">
        <v>441</v>
      </c>
      <c r="F76" s="14" t="s">
        <v>442</v>
      </c>
      <c r="G76" s="16" t="s">
        <v>443</v>
      </c>
      <c r="H76" s="24">
        <v>46058.8055787037</v>
      </c>
      <c r="I76" s="24">
        <v>46146.78491898148</v>
      </c>
      <c r="J76" s="12" t="b">
        <v>1</v>
      </c>
    </row>
    <row r="77" ht="14.25" customHeight="1">
      <c r="A77" s="7" t="s">
        <v>444</v>
      </c>
      <c r="B77" s="18" t="s">
        <v>445</v>
      </c>
      <c r="C77" s="13" t="s">
        <v>446</v>
      </c>
      <c r="D77" s="13" t="s">
        <v>446</v>
      </c>
      <c r="E77" s="15" t="s">
        <v>369</v>
      </c>
      <c r="F77" s="15" t="s">
        <v>447</v>
      </c>
      <c r="G77" s="16" t="s">
        <v>448</v>
      </c>
      <c r="H77" s="24">
        <v>46058.82189814815</v>
      </c>
      <c r="I77" s="24">
        <v>46058.82630787037</v>
      </c>
      <c r="J77" s="12" t="b">
        <v>1</v>
      </c>
    </row>
    <row r="78" ht="14.25" customHeight="1">
      <c r="A78" s="7" t="s">
        <v>449</v>
      </c>
      <c r="B78" s="18" t="s">
        <v>450</v>
      </c>
      <c r="C78" s="13" t="s">
        <v>451</v>
      </c>
      <c r="D78" s="13" t="s">
        <v>451</v>
      </c>
      <c r="E78" s="15" t="s">
        <v>452</v>
      </c>
      <c r="F78" s="15" t="s">
        <v>453</v>
      </c>
      <c r="G78" s="16" t="s">
        <v>454</v>
      </c>
      <c r="H78" s="24">
        <v>46058.83349537037</v>
      </c>
      <c r="I78" s="24">
        <v>46129.761354166665</v>
      </c>
      <c r="J78" s="12" t="b">
        <v>1</v>
      </c>
    </row>
    <row r="79" ht="14.25" customHeight="1">
      <c r="A79" s="7" t="s">
        <v>455</v>
      </c>
      <c r="B79" s="18" t="s">
        <v>456</v>
      </c>
      <c r="C79" s="13" t="s">
        <v>457</v>
      </c>
      <c r="D79" s="13" t="s">
        <v>457</v>
      </c>
      <c r="E79" s="15" t="s">
        <v>458</v>
      </c>
      <c r="F79" s="15" t="s">
        <v>459</v>
      </c>
      <c r="G79" s="16" t="s">
        <v>460</v>
      </c>
      <c r="H79" s="24">
        <v>46058.891226851854</v>
      </c>
      <c r="I79" s="24">
        <v>46138.49322916667</v>
      </c>
      <c r="J79" s="12" t="b">
        <v>1</v>
      </c>
    </row>
    <row r="80" ht="14.25" customHeight="1">
      <c r="A80" s="7" t="s">
        <v>461</v>
      </c>
      <c r="B80" s="18" t="s">
        <v>462</v>
      </c>
      <c r="C80" s="13" t="s">
        <v>463</v>
      </c>
      <c r="D80" s="13" t="s">
        <v>463</v>
      </c>
      <c r="E80" s="15" t="s">
        <v>300</v>
      </c>
      <c r="F80" s="15" t="s">
        <v>464</v>
      </c>
      <c r="G80" s="16" t="s">
        <v>465</v>
      </c>
      <c r="H80" s="24">
        <v>46058.9059837963</v>
      </c>
      <c r="I80" s="24">
        <v>46151.59947916667</v>
      </c>
      <c r="J80" s="12" t="b">
        <v>1</v>
      </c>
    </row>
    <row r="81" ht="14.25" customHeight="1">
      <c r="A81" s="7" t="s">
        <v>466</v>
      </c>
      <c r="B81" s="18" t="s">
        <v>467</v>
      </c>
      <c r="C81" s="13" t="s">
        <v>468</v>
      </c>
      <c r="D81" s="13" t="s">
        <v>468</v>
      </c>
      <c r="E81" s="15" t="s">
        <v>469</v>
      </c>
      <c r="F81" s="15" t="s">
        <v>470</v>
      </c>
      <c r="G81" s="16" t="s">
        <v>471</v>
      </c>
      <c r="H81" s="24">
        <v>46058.90833333333</v>
      </c>
      <c r="I81" s="24">
        <v>46059.872349537036</v>
      </c>
      <c r="J81" s="12" t="b">
        <v>1</v>
      </c>
    </row>
    <row r="82" ht="14.25" customHeight="1">
      <c r="A82" s="7" t="s">
        <v>472</v>
      </c>
      <c r="B82" s="18" t="s">
        <v>473</v>
      </c>
      <c r="C82" s="13" t="s">
        <v>474</v>
      </c>
      <c r="D82" s="13" t="s">
        <v>474</v>
      </c>
      <c r="E82" s="15" t="s">
        <v>475</v>
      </c>
      <c r="F82" s="15" t="s">
        <v>476</v>
      </c>
      <c r="G82" s="16" t="s">
        <v>477</v>
      </c>
      <c r="H82" s="24">
        <v>46058.91342592592</v>
      </c>
      <c r="I82" s="24">
        <v>46150.02138888889</v>
      </c>
      <c r="J82" s="12" t="b">
        <v>1</v>
      </c>
    </row>
    <row r="83" ht="14.25" customHeight="1">
      <c r="A83" s="7" t="s">
        <v>478</v>
      </c>
      <c r="B83" s="7" t="s">
        <v>479</v>
      </c>
      <c r="C83" s="13" t="s">
        <v>480</v>
      </c>
      <c r="D83" s="13" t="s">
        <v>480</v>
      </c>
      <c r="E83" s="15" t="s">
        <v>181</v>
      </c>
      <c r="F83" s="15" t="s">
        <v>481</v>
      </c>
      <c r="G83" s="16" t="s">
        <v>482</v>
      </c>
      <c r="H83" s="24">
        <v>46058.94768518519</v>
      </c>
      <c r="I83" s="24">
        <v>46145.92940972222</v>
      </c>
      <c r="J83" s="12" t="b">
        <v>1</v>
      </c>
    </row>
    <row r="84" ht="14.25" customHeight="1">
      <c r="A84" s="7" t="s">
        <v>483</v>
      </c>
      <c r="B84" s="18" t="s">
        <v>484</v>
      </c>
      <c r="C84" s="13" t="s">
        <v>485</v>
      </c>
      <c r="D84" s="13" t="s">
        <v>485</v>
      </c>
      <c r="E84" s="15" t="s">
        <v>42</v>
      </c>
      <c r="F84" s="15" t="s">
        <v>486</v>
      </c>
      <c r="G84" s="16" t="s">
        <v>487</v>
      </c>
      <c r="H84" s="24">
        <v>46058.979108796295</v>
      </c>
      <c r="I84" s="24">
        <v>46059.25130787037</v>
      </c>
      <c r="J84" s="12" t="b">
        <v>1</v>
      </c>
    </row>
    <row r="85" ht="14.25" customHeight="1">
      <c r="A85" s="7" t="s">
        <v>488</v>
      </c>
      <c r="B85" s="18" t="s">
        <v>489</v>
      </c>
      <c r="C85" s="13" t="s">
        <v>490</v>
      </c>
      <c r="D85" s="13" t="s">
        <v>490</v>
      </c>
      <c r="E85" s="15" t="s">
        <v>491</v>
      </c>
      <c r="F85" s="15" t="s">
        <v>492</v>
      </c>
      <c r="G85" s="16" t="s">
        <v>493</v>
      </c>
      <c r="H85" s="24">
        <v>46059.58306712963</v>
      </c>
      <c r="I85" s="24">
        <v>46137.679618055554</v>
      </c>
      <c r="J85" s="12" t="b">
        <v>1</v>
      </c>
    </row>
    <row r="86" ht="14.25" customHeight="1">
      <c r="A86" s="7" t="s">
        <v>494</v>
      </c>
      <c r="B86" s="18" t="s">
        <v>495</v>
      </c>
      <c r="C86" s="13" t="s">
        <v>496</v>
      </c>
      <c r="D86" s="13" t="s">
        <v>496</v>
      </c>
      <c r="E86" s="15" t="s">
        <v>497</v>
      </c>
      <c r="F86" s="15" t="s">
        <v>498</v>
      </c>
      <c r="G86" s="16" t="s">
        <v>499</v>
      </c>
      <c r="H86" s="24">
        <v>46059.59709490741</v>
      </c>
      <c r="I86" s="24">
        <v>46059.60252314815</v>
      </c>
      <c r="J86" s="12" t="b">
        <v>1</v>
      </c>
    </row>
    <row r="87" ht="14.25" customHeight="1">
      <c r="A87" s="7" t="s">
        <v>500</v>
      </c>
      <c r="B87" s="7" t="s">
        <v>501</v>
      </c>
      <c r="C87" s="13" t="s">
        <v>502</v>
      </c>
      <c r="D87" s="13" t="s">
        <v>502</v>
      </c>
      <c r="E87" s="15" t="s">
        <v>187</v>
      </c>
      <c r="F87" s="15" t="s">
        <v>503</v>
      </c>
      <c r="G87" s="16" t="s">
        <v>504</v>
      </c>
      <c r="H87" s="24">
        <v>46059.63642361111</v>
      </c>
      <c r="I87" s="24">
        <v>46156.60057870371</v>
      </c>
      <c r="J87" s="12" t="b">
        <v>1</v>
      </c>
    </row>
    <row r="88" ht="14.25" customHeight="1">
      <c r="A88" s="7" t="s">
        <v>505</v>
      </c>
      <c r="B88" s="18" t="s">
        <v>506</v>
      </c>
      <c r="C88" s="13" t="s">
        <v>507</v>
      </c>
      <c r="D88" s="13" t="s">
        <v>507</v>
      </c>
      <c r="E88" s="15" t="s">
        <v>508</v>
      </c>
      <c r="F88" s="15" t="s">
        <v>509</v>
      </c>
      <c r="G88" s="16" t="s">
        <v>510</v>
      </c>
      <c r="H88" s="24">
        <v>46059.63694444444</v>
      </c>
      <c r="I88" s="24">
        <v>46059.88826388889</v>
      </c>
      <c r="J88" s="12" t="b">
        <v>1</v>
      </c>
    </row>
    <row r="89" ht="14.25" customHeight="1">
      <c r="A89" s="7" t="s">
        <v>511</v>
      </c>
      <c r="B89" s="18" t="s">
        <v>512</v>
      </c>
      <c r="C89" s="13" t="s">
        <v>513</v>
      </c>
      <c r="D89" s="13" t="s">
        <v>513</v>
      </c>
      <c r="E89" s="15" t="s">
        <v>514</v>
      </c>
      <c r="F89" s="15" t="s">
        <v>515</v>
      </c>
      <c r="G89" s="16" t="s">
        <v>516</v>
      </c>
      <c r="H89" s="24">
        <v>46059.66737268519</v>
      </c>
      <c r="I89" s="24">
        <v>46060.03706018518</v>
      </c>
      <c r="J89" s="12" t="b">
        <v>1</v>
      </c>
    </row>
    <row r="90" ht="14.25" customHeight="1">
      <c r="A90" s="7" t="s">
        <v>517</v>
      </c>
      <c r="B90" s="18" t="s">
        <v>518</v>
      </c>
      <c r="C90" s="13" t="s">
        <v>519</v>
      </c>
      <c r="D90" s="13" t="s">
        <v>519</v>
      </c>
      <c r="E90" s="15" t="s">
        <v>520</v>
      </c>
      <c r="F90" s="15" t="s">
        <v>521</v>
      </c>
      <c r="G90" s="16" t="s">
        <v>522</v>
      </c>
      <c r="H90" s="24">
        <v>46059.6812037037</v>
      </c>
      <c r="I90" s="24">
        <v>46151.74612268519</v>
      </c>
      <c r="J90" s="12" t="b">
        <v>1</v>
      </c>
    </row>
    <row r="91" ht="14.25" customHeight="1">
      <c r="A91" s="7" t="s">
        <v>523</v>
      </c>
      <c r="B91" s="7" t="s">
        <v>524</v>
      </c>
      <c r="C91" s="13" t="s">
        <v>525</v>
      </c>
      <c r="D91" s="13" t="s">
        <v>525</v>
      </c>
      <c r="E91" s="14" t="s">
        <v>526</v>
      </c>
      <c r="F91" s="14" t="s">
        <v>527</v>
      </c>
      <c r="G91" s="16" t="s">
        <v>528</v>
      </c>
      <c r="H91" s="24">
        <v>46059.69447916667</v>
      </c>
      <c r="I91" s="24">
        <v>46095.13790509259</v>
      </c>
      <c r="J91" s="12" t="b">
        <v>1</v>
      </c>
    </row>
    <row r="92" ht="14.25" customHeight="1">
      <c r="A92" s="7" t="s">
        <v>529</v>
      </c>
      <c r="B92" s="18" t="s">
        <v>530</v>
      </c>
      <c r="C92" s="13" t="s">
        <v>531</v>
      </c>
      <c r="D92" s="13" t="s">
        <v>532</v>
      </c>
      <c r="E92" s="15" t="s">
        <v>187</v>
      </c>
      <c r="F92" s="15" t="s">
        <v>533</v>
      </c>
      <c r="G92" s="16" t="s">
        <v>534</v>
      </c>
      <c r="H92" s="24">
        <v>46059.695289351854</v>
      </c>
      <c r="I92" s="24">
        <v>46150.36853009259</v>
      </c>
      <c r="J92" s="12" t="b">
        <v>1</v>
      </c>
    </row>
    <row r="93" ht="14.25" customHeight="1">
      <c r="A93" s="7" t="s">
        <v>535</v>
      </c>
      <c r="B93" s="7" t="s">
        <v>536</v>
      </c>
      <c r="C93" s="13" t="s">
        <v>537</v>
      </c>
      <c r="D93" s="13" t="s">
        <v>537</v>
      </c>
      <c r="E93" s="14" t="s">
        <v>536</v>
      </c>
      <c r="F93" s="14" t="s">
        <v>536</v>
      </c>
      <c r="G93" s="16" t="s">
        <v>538</v>
      </c>
      <c r="H93" s="24">
        <v>46059.69634259259</v>
      </c>
      <c r="I93" s="24">
        <v>46059.69634259259</v>
      </c>
      <c r="J93" s="12" t="b">
        <v>1</v>
      </c>
    </row>
    <row r="94" ht="14.25" customHeight="1">
      <c r="A94" s="7" t="s">
        <v>539</v>
      </c>
      <c r="B94" s="18" t="s">
        <v>540</v>
      </c>
      <c r="C94" s="13" t="s">
        <v>541</v>
      </c>
      <c r="D94" s="13" t="s">
        <v>541</v>
      </c>
      <c r="E94" s="15" t="s">
        <v>542</v>
      </c>
      <c r="F94" s="15" t="s">
        <v>543</v>
      </c>
      <c r="G94" s="16" t="s">
        <v>544</v>
      </c>
      <c r="H94" s="24">
        <v>46059.73415509259</v>
      </c>
      <c r="I94" s="24">
        <v>46144.80902777778</v>
      </c>
      <c r="J94" s="12" t="b">
        <v>1</v>
      </c>
    </row>
    <row r="95" ht="14.25" customHeight="1">
      <c r="A95" s="7" t="s">
        <v>545</v>
      </c>
      <c r="B95" s="7" t="s">
        <v>546</v>
      </c>
      <c r="C95" s="13" t="s">
        <v>547</v>
      </c>
      <c r="D95" s="13" t="s">
        <v>548</v>
      </c>
      <c r="E95" s="14" t="s">
        <v>549</v>
      </c>
      <c r="F95" s="14" t="s">
        <v>550</v>
      </c>
      <c r="G95" s="16" t="s">
        <v>551</v>
      </c>
      <c r="H95" s="24">
        <v>46059.7487962963</v>
      </c>
      <c r="I95" s="24">
        <v>46151.43146990741</v>
      </c>
      <c r="J95" s="12" t="b">
        <v>1</v>
      </c>
    </row>
    <row r="96" ht="14.25" customHeight="1">
      <c r="A96" s="7" t="s">
        <v>552</v>
      </c>
      <c r="B96" s="7" t="s">
        <v>553</v>
      </c>
      <c r="C96" s="13" t="s">
        <v>554</v>
      </c>
      <c r="D96" s="13" t="s">
        <v>554</v>
      </c>
      <c r="E96" s="15" t="s">
        <v>187</v>
      </c>
      <c r="F96" s="15" t="s">
        <v>555</v>
      </c>
      <c r="G96" s="16" t="s">
        <v>556</v>
      </c>
      <c r="H96" s="24">
        <v>46059.852800925924</v>
      </c>
      <c r="I96" s="24">
        <v>46160.067337962966</v>
      </c>
      <c r="J96" s="12" t="b">
        <v>1</v>
      </c>
    </row>
    <row r="97" ht="14.25" customHeight="1">
      <c r="A97" s="7" t="s">
        <v>557</v>
      </c>
      <c r="B97" s="18" t="s">
        <v>558</v>
      </c>
      <c r="C97" s="13" t="s">
        <v>559</v>
      </c>
      <c r="D97" s="13" t="s">
        <v>559</v>
      </c>
      <c r="E97" s="15" t="s">
        <v>452</v>
      </c>
      <c r="F97" s="15" t="s">
        <v>560</v>
      </c>
      <c r="G97" s="16" t="s">
        <v>561</v>
      </c>
      <c r="H97" s="24">
        <v>46059.87112268519</v>
      </c>
      <c r="I97" s="24">
        <v>46146.00545138889</v>
      </c>
      <c r="J97" s="12" t="b">
        <v>1</v>
      </c>
    </row>
    <row r="98" ht="14.25" customHeight="1">
      <c r="A98" s="7" t="s">
        <v>562</v>
      </c>
      <c r="B98" s="18" t="s">
        <v>563</v>
      </c>
      <c r="C98" s="13" t="s">
        <v>564</v>
      </c>
      <c r="D98" s="13" t="s">
        <v>564</v>
      </c>
      <c r="E98" s="15" t="s">
        <v>565</v>
      </c>
      <c r="F98" s="15" t="s">
        <v>566</v>
      </c>
      <c r="G98" s="16" t="s">
        <v>567</v>
      </c>
      <c r="H98" s="24">
        <v>46059.88791666667</v>
      </c>
      <c r="I98" s="24">
        <v>46059.89009259259</v>
      </c>
      <c r="J98" s="12" t="b">
        <v>1</v>
      </c>
    </row>
    <row r="99" ht="14.25" customHeight="1">
      <c r="A99" s="7" t="s">
        <v>568</v>
      </c>
      <c r="B99" s="7" t="s">
        <v>569</v>
      </c>
      <c r="C99" s="13" t="s">
        <v>570</v>
      </c>
      <c r="D99" s="13" t="s">
        <v>570</v>
      </c>
      <c r="E99" s="15" t="s">
        <v>375</v>
      </c>
      <c r="F99" s="15" t="s">
        <v>571</v>
      </c>
      <c r="G99" s="16" t="s">
        <v>572</v>
      </c>
      <c r="H99" s="24">
        <v>46059.92114583333</v>
      </c>
      <c r="I99" s="24">
        <v>46144.956296296295</v>
      </c>
      <c r="J99" s="12" t="b">
        <v>1</v>
      </c>
      <c r="N99" s="12" t="s">
        <v>45</v>
      </c>
      <c r="O99" s="19">
        <v>24.407829325295552</v>
      </c>
      <c r="P99" s="19">
        <v>54.5653016169153</v>
      </c>
      <c r="Q99" s="20" t="s">
        <v>572</v>
      </c>
    </row>
    <row r="100" ht="14.25" customHeight="1">
      <c r="A100" s="7" t="s">
        <v>573</v>
      </c>
      <c r="B100" s="7" t="s">
        <v>574</v>
      </c>
      <c r="C100" s="13" t="s">
        <v>575</v>
      </c>
      <c r="D100" s="13" t="s">
        <v>575</v>
      </c>
      <c r="E100" s="14" t="s">
        <v>576</v>
      </c>
      <c r="F100" s="14" t="s">
        <v>577</v>
      </c>
      <c r="G100" s="16" t="s">
        <v>578</v>
      </c>
      <c r="H100" s="24">
        <v>46059.93912037037</v>
      </c>
      <c r="I100" s="24">
        <v>46159.39136574074</v>
      </c>
      <c r="J100" s="12" t="b">
        <v>1</v>
      </c>
    </row>
    <row r="101" ht="14.25" customHeight="1">
      <c r="A101" s="7" t="s">
        <v>579</v>
      </c>
      <c r="B101" s="18" t="s">
        <v>580</v>
      </c>
      <c r="C101" s="13" t="s">
        <v>581</v>
      </c>
      <c r="D101" s="13" t="s">
        <v>581</v>
      </c>
      <c r="E101" s="15" t="s">
        <v>156</v>
      </c>
      <c r="F101" s="15" t="s">
        <v>582</v>
      </c>
      <c r="G101" s="16" t="s">
        <v>583</v>
      </c>
      <c r="H101" s="24">
        <v>46059.953680555554</v>
      </c>
      <c r="I101" s="24">
        <v>46095.67696759259</v>
      </c>
      <c r="J101" s="12" t="b">
        <v>1</v>
      </c>
    </row>
    <row r="102" ht="14.25" customHeight="1">
      <c r="A102" s="7" t="s">
        <v>584</v>
      </c>
      <c r="B102" s="18" t="s">
        <v>585</v>
      </c>
      <c r="C102" s="13" t="s">
        <v>586</v>
      </c>
      <c r="D102" s="13" t="s">
        <v>586</v>
      </c>
      <c r="E102" s="15" t="s">
        <v>289</v>
      </c>
      <c r="F102" s="15" t="s">
        <v>587</v>
      </c>
      <c r="G102" s="16" t="s">
        <v>588</v>
      </c>
      <c r="H102" s="24">
        <v>46059.958182870374</v>
      </c>
      <c r="I102" s="24">
        <v>46059.96884259259</v>
      </c>
      <c r="J102" s="12" t="b">
        <v>1</v>
      </c>
    </row>
    <row r="103" ht="14.25" customHeight="1">
      <c r="A103" s="7" t="s">
        <v>589</v>
      </c>
      <c r="B103" s="18" t="s">
        <v>590</v>
      </c>
      <c r="C103" s="13" t="s">
        <v>591</v>
      </c>
      <c r="D103" s="13" t="s">
        <v>591</v>
      </c>
      <c r="E103" s="15" t="s">
        <v>592</v>
      </c>
      <c r="F103" s="15" t="s">
        <v>593</v>
      </c>
      <c r="G103" s="16" t="s">
        <v>594</v>
      </c>
      <c r="H103" s="24">
        <v>46059.976493055554</v>
      </c>
      <c r="I103" s="24">
        <v>46075.996203703704</v>
      </c>
      <c r="J103" s="12" t="b">
        <v>1</v>
      </c>
    </row>
    <row r="104" ht="14.25" customHeight="1">
      <c r="A104" s="7" t="s">
        <v>595</v>
      </c>
      <c r="B104" s="18" t="s">
        <v>596</v>
      </c>
      <c r="C104" s="13" t="s">
        <v>597</v>
      </c>
      <c r="D104" s="13" t="s">
        <v>597</v>
      </c>
      <c r="E104" s="15" t="s">
        <v>425</v>
      </c>
      <c r="F104" s="15" t="s">
        <v>598</v>
      </c>
      <c r="G104" s="16" t="s">
        <v>599</v>
      </c>
      <c r="H104" s="24">
        <v>46059.97957175926</v>
      </c>
      <c r="I104" s="24">
        <v>46089.013969907406</v>
      </c>
      <c r="J104" s="12" t="b">
        <v>1</v>
      </c>
    </row>
    <row r="105" ht="14.25" customHeight="1">
      <c r="A105" s="7" t="s">
        <v>600</v>
      </c>
      <c r="B105" s="7" t="s">
        <v>601</v>
      </c>
      <c r="C105" s="13" t="s">
        <v>602</v>
      </c>
      <c r="D105" s="13" t="s">
        <v>602</v>
      </c>
      <c r="E105" s="15" t="s">
        <v>50</v>
      </c>
      <c r="F105" s="15" t="s">
        <v>603</v>
      </c>
      <c r="G105" s="16" t="s">
        <v>604</v>
      </c>
      <c r="H105" s="24">
        <v>46060.01525462963</v>
      </c>
      <c r="I105" s="24">
        <v>46162.33702546296</v>
      </c>
      <c r="J105" s="12" t="b">
        <v>1</v>
      </c>
    </row>
    <row r="106" ht="14.25" customHeight="1">
      <c r="A106" s="7" t="s">
        <v>605</v>
      </c>
      <c r="B106" s="7" t="s">
        <v>606</v>
      </c>
      <c r="C106" s="13" t="s">
        <v>607</v>
      </c>
      <c r="D106" s="13" t="s">
        <v>607</v>
      </c>
      <c r="E106" s="15" t="s">
        <v>74</v>
      </c>
      <c r="F106" s="15" t="s">
        <v>608</v>
      </c>
      <c r="G106" s="16" t="s">
        <v>609</v>
      </c>
      <c r="H106" s="24">
        <v>46060.02788194444</v>
      </c>
      <c r="I106" s="24">
        <v>46060.03381944444</v>
      </c>
      <c r="J106" s="12" t="b">
        <v>1</v>
      </c>
    </row>
    <row r="107" ht="14.25" customHeight="1">
      <c r="A107" s="7" t="s">
        <v>610</v>
      </c>
      <c r="B107" s="18" t="s">
        <v>611</v>
      </c>
      <c r="C107" s="13" t="s">
        <v>612</v>
      </c>
      <c r="D107" s="13" t="s">
        <v>612</v>
      </c>
      <c r="E107" s="15" t="s">
        <v>381</v>
      </c>
      <c r="F107" s="15" t="s">
        <v>613</v>
      </c>
      <c r="G107" s="16" t="s">
        <v>614</v>
      </c>
      <c r="H107" s="24">
        <v>46060.42045138889</v>
      </c>
      <c r="I107" s="24">
        <v>46137.97900462963</v>
      </c>
      <c r="J107" s="12" t="b">
        <v>1</v>
      </c>
    </row>
    <row r="108" ht="14.25" customHeight="1">
      <c r="A108" s="7" t="s">
        <v>615</v>
      </c>
      <c r="B108" s="18" t="s">
        <v>616</v>
      </c>
      <c r="C108" s="13" t="s">
        <v>617</v>
      </c>
      <c r="D108" s="13" t="s">
        <v>617</v>
      </c>
      <c r="E108" s="15" t="s">
        <v>618</v>
      </c>
      <c r="F108" s="15" t="s">
        <v>619</v>
      </c>
      <c r="G108" s="16" t="s">
        <v>620</v>
      </c>
      <c r="H108" s="24">
        <v>46060.51645833333</v>
      </c>
      <c r="I108" s="24">
        <v>46131.85491898148</v>
      </c>
      <c r="J108" s="12" t="b">
        <v>1</v>
      </c>
    </row>
    <row r="109" ht="14.25" customHeight="1">
      <c r="A109" s="7" t="s">
        <v>621</v>
      </c>
      <c r="B109" s="18" t="s">
        <v>622</v>
      </c>
      <c r="C109" s="13" t="s">
        <v>623</v>
      </c>
      <c r="D109" s="13" t="s">
        <v>623</v>
      </c>
      <c r="E109" s="15" t="s">
        <v>187</v>
      </c>
      <c r="F109" s="15" t="s">
        <v>624</v>
      </c>
      <c r="G109" s="16" t="s">
        <v>625</v>
      </c>
      <c r="H109" s="24">
        <v>46060.68817129629</v>
      </c>
      <c r="I109" s="24">
        <v>46060.71971064815</v>
      </c>
      <c r="J109" s="12" t="b">
        <v>1</v>
      </c>
    </row>
    <row r="110" ht="14.25" customHeight="1">
      <c r="A110" s="7" t="s">
        <v>626</v>
      </c>
      <c r="B110" s="18" t="s">
        <v>627</v>
      </c>
      <c r="C110" s="13" t="s">
        <v>628</v>
      </c>
      <c r="D110" s="13" t="s">
        <v>628</v>
      </c>
      <c r="E110" s="15" t="s">
        <v>61</v>
      </c>
      <c r="F110" s="14" t="s">
        <v>629</v>
      </c>
      <c r="G110" s="16" t="s">
        <v>630</v>
      </c>
      <c r="H110" s="24">
        <v>46060.77245370371</v>
      </c>
      <c r="I110" s="24">
        <v>46090.545115740744</v>
      </c>
      <c r="J110" s="12" t="b">
        <v>1</v>
      </c>
    </row>
    <row r="111" ht="14.25" customHeight="1">
      <c r="A111" s="7" t="s">
        <v>631</v>
      </c>
      <c r="B111" s="7" t="s">
        <v>632</v>
      </c>
      <c r="C111" s="13" t="s">
        <v>633</v>
      </c>
      <c r="D111" s="13" t="s">
        <v>633</v>
      </c>
      <c r="E111" s="15" t="s">
        <v>508</v>
      </c>
      <c r="F111" s="15" t="s">
        <v>634</v>
      </c>
      <c r="G111" s="16" t="s">
        <v>635</v>
      </c>
      <c r="H111" s="24">
        <v>46060.80525462963</v>
      </c>
      <c r="I111" s="24">
        <v>46151.74196759259</v>
      </c>
      <c r="J111" s="12" t="b">
        <v>1</v>
      </c>
    </row>
    <row r="112" ht="14.25" customHeight="1">
      <c r="A112" s="7" t="s">
        <v>636</v>
      </c>
      <c r="B112" s="18" t="s">
        <v>637</v>
      </c>
      <c r="C112" s="13" t="s">
        <v>638</v>
      </c>
      <c r="D112" s="13" t="s">
        <v>638</v>
      </c>
      <c r="E112" s="15" t="s">
        <v>194</v>
      </c>
      <c r="F112" s="15" t="s">
        <v>639</v>
      </c>
      <c r="G112" s="30" t="s">
        <v>640</v>
      </c>
      <c r="H112" s="24">
        <v>46060.8106712963</v>
      </c>
      <c r="I112" s="24">
        <v>46144.92758101852</v>
      </c>
      <c r="J112" s="12" t="b">
        <v>1</v>
      </c>
    </row>
    <row r="113" ht="14.25" customHeight="1">
      <c r="A113" s="7" t="s">
        <v>641</v>
      </c>
      <c r="B113" s="7" t="s">
        <v>642</v>
      </c>
      <c r="C113" s="13" t="s">
        <v>643</v>
      </c>
      <c r="D113" s="13" t="s">
        <v>643</v>
      </c>
      <c r="E113" s="15" t="s">
        <v>644</v>
      </c>
      <c r="F113" s="15" t="s">
        <v>645</v>
      </c>
      <c r="G113" s="30" t="s">
        <v>646</v>
      </c>
      <c r="H113" s="24">
        <v>46060.905023148145</v>
      </c>
      <c r="I113" s="24">
        <v>46160.769224537034</v>
      </c>
      <c r="J113" s="12" t="b">
        <v>1</v>
      </c>
    </row>
    <row r="114" ht="14.25" customHeight="1">
      <c r="A114" s="7" t="s">
        <v>647</v>
      </c>
      <c r="B114" s="18" t="s">
        <v>648</v>
      </c>
      <c r="C114" s="13" t="s">
        <v>649</v>
      </c>
      <c r="D114" s="13" t="s">
        <v>649</v>
      </c>
      <c r="E114" s="15" t="s">
        <v>650</v>
      </c>
      <c r="F114" s="15" t="s">
        <v>651</v>
      </c>
      <c r="G114" s="31" t="s">
        <v>652</v>
      </c>
      <c r="H114" s="24">
        <v>46060.97725694445</v>
      </c>
      <c r="I114" s="24">
        <v>46060.98155092593</v>
      </c>
      <c r="J114" s="12" t="b">
        <v>1</v>
      </c>
    </row>
    <row r="115" ht="14.25" customHeight="1">
      <c r="A115" s="7" t="s">
        <v>653</v>
      </c>
      <c r="B115" s="18" t="s">
        <v>654</v>
      </c>
      <c r="C115" s="13" t="s">
        <v>655</v>
      </c>
      <c r="D115" s="13" t="s">
        <v>655</v>
      </c>
      <c r="E115" s="15" t="s">
        <v>656</v>
      </c>
      <c r="F115" s="15" t="s">
        <v>657</v>
      </c>
      <c r="G115" s="30" t="s">
        <v>658</v>
      </c>
      <c r="H115" s="24">
        <v>46060.98474537037</v>
      </c>
      <c r="I115" s="24">
        <v>46160.726331018515</v>
      </c>
      <c r="J115" s="12" t="b">
        <v>1</v>
      </c>
    </row>
    <row r="116" ht="14.25" customHeight="1">
      <c r="A116" s="7" t="s">
        <v>659</v>
      </c>
      <c r="B116" s="7" t="s">
        <v>660</v>
      </c>
      <c r="C116" s="13" t="s">
        <v>661</v>
      </c>
      <c r="D116" s="13" t="s">
        <v>661</v>
      </c>
      <c r="E116" s="15" t="s">
        <v>662</v>
      </c>
      <c r="F116" s="15" t="s">
        <v>663</v>
      </c>
      <c r="G116" s="32" t="s">
        <v>664</v>
      </c>
      <c r="H116" s="24">
        <v>46061.02710648148</v>
      </c>
      <c r="I116" s="24">
        <v>46061.02710648148</v>
      </c>
      <c r="J116" s="12" t="b">
        <v>1</v>
      </c>
    </row>
    <row r="117" ht="14.25" customHeight="1">
      <c r="A117" s="7" t="s">
        <v>665</v>
      </c>
      <c r="B117" s="18" t="s">
        <v>666</v>
      </c>
      <c r="C117" s="13" t="s">
        <v>667</v>
      </c>
      <c r="D117" s="13" t="s">
        <v>667</v>
      </c>
      <c r="E117" s="15" t="s">
        <v>668</v>
      </c>
      <c r="F117" s="15" t="s">
        <v>669</v>
      </c>
      <c r="G117" s="30" t="s">
        <v>670</v>
      </c>
      <c r="H117" s="24">
        <v>46061.202060185184</v>
      </c>
      <c r="I117" s="24">
        <v>46061.202060185184</v>
      </c>
      <c r="J117" s="12" t="b">
        <v>1</v>
      </c>
    </row>
    <row r="118" ht="14.25" customHeight="1">
      <c r="A118" s="7" t="s">
        <v>671</v>
      </c>
      <c r="B118" s="7" t="s">
        <v>672</v>
      </c>
      <c r="C118" s="13" t="s">
        <v>673</v>
      </c>
      <c r="D118" s="13" t="s">
        <v>673</v>
      </c>
      <c r="E118" s="14" t="s">
        <v>674</v>
      </c>
      <c r="F118" s="14" t="s">
        <v>675</v>
      </c>
      <c r="G118" s="32" t="s">
        <v>676</v>
      </c>
      <c r="H118" s="24">
        <v>46061.57795138889</v>
      </c>
      <c r="I118" s="24">
        <v>46061.58619212963</v>
      </c>
      <c r="J118" s="12" t="b">
        <v>1</v>
      </c>
    </row>
    <row r="119" ht="14.25" customHeight="1">
      <c r="A119" s="7" t="s">
        <v>677</v>
      </c>
      <c r="B119" s="18" t="s">
        <v>678</v>
      </c>
      <c r="C119" s="13" t="s">
        <v>679</v>
      </c>
      <c r="D119" s="13" t="s">
        <v>679</v>
      </c>
      <c r="E119" s="15" t="s">
        <v>680</v>
      </c>
      <c r="F119" s="15" t="s">
        <v>680</v>
      </c>
      <c r="G119" s="30" t="s">
        <v>681</v>
      </c>
      <c r="H119" s="24">
        <v>46062.9803125</v>
      </c>
      <c r="I119" s="24">
        <v>46094.76246527778</v>
      </c>
      <c r="J119" s="12" t="b">
        <v>1</v>
      </c>
    </row>
    <row r="120" ht="14.25" customHeight="1">
      <c r="A120" s="7" t="s">
        <v>682</v>
      </c>
      <c r="B120" s="18" t="s">
        <v>316</v>
      </c>
      <c r="C120" s="13" t="s">
        <v>683</v>
      </c>
      <c r="D120" s="13" t="s">
        <v>683</v>
      </c>
      <c r="E120" s="15" t="s">
        <v>318</v>
      </c>
      <c r="F120" s="15" t="s">
        <v>684</v>
      </c>
      <c r="G120" s="32" t="s">
        <v>685</v>
      </c>
      <c r="H120" s="24">
        <v>46073.881273148145</v>
      </c>
      <c r="I120" s="24">
        <v>46073.88197916667</v>
      </c>
      <c r="J120" s="12" t="b">
        <v>1</v>
      </c>
    </row>
    <row r="121" ht="14.25" customHeight="1">
      <c r="A121" s="7" t="s">
        <v>686</v>
      </c>
      <c r="B121" s="7" t="s">
        <v>687</v>
      </c>
      <c r="C121" s="13" t="s">
        <v>688</v>
      </c>
      <c r="D121" s="13" t="s">
        <v>688</v>
      </c>
      <c r="E121" s="15" t="s">
        <v>181</v>
      </c>
      <c r="F121" s="15" t="s">
        <v>689</v>
      </c>
      <c r="G121" s="30" t="s">
        <v>690</v>
      </c>
      <c r="H121" s="24">
        <v>46073.978946759256</v>
      </c>
      <c r="I121" s="24">
        <v>46075.22305555556</v>
      </c>
      <c r="J121" s="12" t="b">
        <v>1</v>
      </c>
    </row>
    <row r="122" ht="14.25" customHeight="1">
      <c r="A122" s="7" t="s">
        <v>691</v>
      </c>
      <c r="B122" s="7" t="s">
        <v>692</v>
      </c>
      <c r="C122" s="13" t="s">
        <v>693</v>
      </c>
      <c r="D122" s="13" t="s">
        <v>693</v>
      </c>
      <c r="E122" s="15" t="s">
        <v>92</v>
      </c>
      <c r="F122" s="14" t="s">
        <v>694</v>
      </c>
      <c r="G122" s="32" t="s">
        <v>695</v>
      </c>
      <c r="H122" s="24">
        <v>46074.02605324074</v>
      </c>
      <c r="I122" s="24">
        <v>46074.027407407404</v>
      </c>
      <c r="J122" s="12" t="b">
        <v>1</v>
      </c>
    </row>
    <row r="123" ht="14.25" customHeight="1">
      <c r="A123" s="7" t="s">
        <v>696</v>
      </c>
      <c r="B123" s="7" t="s">
        <v>697</v>
      </c>
      <c r="C123" s="13" t="s">
        <v>698</v>
      </c>
      <c r="D123" s="13" t="s">
        <v>698</v>
      </c>
      <c r="E123" s="15" t="s">
        <v>618</v>
      </c>
      <c r="F123" s="14" t="s">
        <v>699</v>
      </c>
      <c r="G123" s="30" t="s">
        <v>700</v>
      </c>
      <c r="H123" s="24">
        <v>46074.07519675926</v>
      </c>
      <c r="I123" s="24">
        <v>46124.112280092595</v>
      </c>
      <c r="J123" s="12" t="b">
        <v>1</v>
      </c>
    </row>
    <row r="124" ht="14.25" customHeight="1">
      <c r="A124" s="7" t="s">
        <v>701</v>
      </c>
      <c r="B124" s="18" t="s">
        <v>702</v>
      </c>
      <c r="C124" s="13" t="s">
        <v>703</v>
      </c>
      <c r="D124" s="13" t="s">
        <v>703</v>
      </c>
      <c r="E124" s="15" t="s">
        <v>704</v>
      </c>
      <c r="F124" s="15" t="s">
        <v>705</v>
      </c>
      <c r="G124" s="32" t="s">
        <v>706</v>
      </c>
      <c r="H124" s="24">
        <v>46074.56592592593</v>
      </c>
      <c r="I124" s="24">
        <v>46151.62230324074</v>
      </c>
      <c r="J124" s="12" t="b">
        <v>1</v>
      </c>
    </row>
    <row r="125" ht="14.25" customHeight="1">
      <c r="A125" s="7" t="s">
        <v>707</v>
      </c>
      <c r="B125" s="18" t="s">
        <v>40</v>
      </c>
      <c r="C125" s="13" t="s">
        <v>708</v>
      </c>
      <c r="D125" s="13" t="s">
        <v>708</v>
      </c>
      <c r="E125" s="15" t="s">
        <v>42</v>
      </c>
      <c r="F125" s="15" t="s">
        <v>43</v>
      </c>
      <c r="G125" s="30" t="s">
        <v>709</v>
      </c>
      <c r="H125" s="24">
        <v>46074.65206018519</v>
      </c>
      <c r="I125" s="24">
        <v>46074.65398148148</v>
      </c>
      <c r="J125" s="12" t="b">
        <v>1</v>
      </c>
    </row>
    <row r="126" ht="14.25" customHeight="1">
      <c r="A126" s="7" t="s">
        <v>710</v>
      </c>
      <c r="B126" s="18" t="s">
        <v>711</v>
      </c>
      <c r="C126" s="13" t="s">
        <v>712</v>
      </c>
      <c r="D126" s="13" t="s">
        <v>712</v>
      </c>
      <c r="E126" s="15" t="s">
        <v>227</v>
      </c>
      <c r="F126" s="15" t="s">
        <v>713</v>
      </c>
      <c r="G126" s="30" t="s">
        <v>714</v>
      </c>
      <c r="H126" s="24">
        <v>46074.79723379629</v>
      </c>
      <c r="I126" s="24">
        <v>46074.927708333336</v>
      </c>
      <c r="J126" s="12" t="b">
        <v>1</v>
      </c>
    </row>
    <row r="127" ht="14.25" customHeight="1">
      <c r="A127" s="7" t="s">
        <v>715</v>
      </c>
      <c r="B127" s="7" t="s">
        <v>716</v>
      </c>
      <c r="C127" s="13" t="s">
        <v>717</v>
      </c>
      <c r="D127" s="13" t="s">
        <v>717</v>
      </c>
      <c r="E127" s="14" t="s">
        <v>115</v>
      </c>
      <c r="F127" s="14" t="s">
        <v>718</v>
      </c>
      <c r="G127" s="32" t="s">
        <v>719</v>
      </c>
      <c r="H127" s="24">
        <v>46074.90938657407</v>
      </c>
      <c r="I127" s="24">
        <v>46074.91266203704</v>
      </c>
      <c r="J127" s="12" t="b">
        <v>1</v>
      </c>
    </row>
    <row r="128" ht="14.25" customHeight="1">
      <c r="A128" s="7" t="s">
        <v>720</v>
      </c>
      <c r="B128" s="18" t="s">
        <v>721</v>
      </c>
      <c r="C128" s="13" t="s">
        <v>722</v>
      </c>
      <c r="D128" s="13" t="s">
        <v>722</v>
      </c>
      <c r="E128" s="15" t="s">
        <v>723</v>
      </c>
      <c r="F128" s="15" t="s">
        <v>724</v>
      </c>
      <c r="G128" s="30" t="s">
        <v>725</v>
      </c>
      <c r="H128" s="24">
        <v>46074.94091435185</v>
      </c>
      <c r="I128" s="24">
        <v>46090.13928240741</v>
      </c>
      <c r="J128" s="12" t="b">
        <v>1</v>
      </c>
    </row>
    <row r="129" ht="14.25" customHeight="1">
      <c r="A129" s="7" t="s">
        <v>726</v>
      </c>
      <c r="B129" s="7" t="s">
        <v>727</v>
      </c>
      <c r="C129" s="13" t="s">
        <v>728</v>
      </c>
      <c r="D129" s="13" t="s">
        <v>728</v>
      </c>
      <c r="E129" s="15" t="s">
        <v>729</v>
      </c>
      <c r="F129" s="15" t="s">
        <v>730</v>
      </c>
      <c r="G129" s="32" t="s">
        <v>731</v>
      </c>
      <c r="H129" s="24">
        <v>46075.34172453704</v>
      </c>
      <c r="I129" s="24">
        <v>46154.404490740744</v>
      </c>
      <c r="J129" s="12" t="b">
        <v>1</v>
      </c>
    </row>
    <row r="130" ht="14.25" customHeight="1">
      <c r="A130" s="7" t="s">
        <v>732</v>
      </c>
      <c r="B130" s="7" t="s">
        <v>733</v>
      </c>
      <c r="C130" s="13" t="s">
        <v>734</v>
      </c>
      <c r="D130" s="13" t="s">
        <v>734</v>
      </c>
      <c r="E130" s="14" t="s">
        <v>735</v>
      </c>
      <c r="F130" s="14" t="s">
        <v>736</v>
      </c>
      <c r="G130" s="30" t="s">
        <v>737</v>
      </c>
      <c r="H130" s="24">
        <v>46075.50739583333</v>
      </c>
      <c r="I130" s="24">
        <v>46075.51498842592</v>
      </c>
      <c r="J130" s="12" t="b">
        <v>1</v>
      </c>
    </row>
    <row r="131" ht="14.25" customHeight="1">
      <c r="A131" s="7" t="s">
        <v>738</v>
      </c>
      <c r="B131" s="18" t="s">
        <v>739</v>
      </c>
      <c r="C131" s="13" t="s">
        <v>740</v>
      </c>
      <c r="D131" s="13" t="s">
        <v>740</v>
      </c>
      <c r="E131" s="15" t="s">
        <v>300</v>
      </c>
      <c r="F131" s="15" t="s">
        <v>741</v>
      </c>
      <c r="G131" s="32" t="s">
        <v>742</v>
      </c>
      <c r="H131" s="24">
        <v>46075.57506944444</v>
      </c>
      <c r="I131" s="24">
        <v>46091.58540509259</v>
      </c>
      <c r="J131" s="12" t="b">
        <v>1</v>
      </c>
    </row>
    <row r="132" ht="14.25" customHeight="1">
      <c r="A132" s="7" t="s">
        <v>743</v>
      </c>
      <c r="B132" s="7" t="s">
        <v>744</v>
      </c>
      <c r="C132" s="13" t="s">
        <v>745</v>
      </c>
      <c r="D132" s="13" t="s">
        <v>745</v>
      </c>
      <c r="E132" s="15" t="s">
        <v>194</v>
      </c>
      <c r="F132" s="14" t="s">
        <v>746</v>
      </c>
      <c r="G132" s="33" t="s">
        <v>747</v>
      </c>
      <c r="H132" s="24">
        <v>46075.57579861111</v>
      </c>
      <c r="I132" s="24">
        <v>46158.914351851854</v>
      </c>
      <c r="J132" s="12" t="b">
        <v>1</v>
      </c>
    </row>
    <row r="133" ht="14.25" customHeight="1">
      <c r="A133" s="7" t="s">
        <v>748</v>
      </c>
      <c r="B133" s="18" t="s">
        <v>749</v>
      </c>
      <c r="C133" s="13" t="s">
        <v>750</v>
      </c>
      <c r="D133" s="13" t="s">
        <v>750</v>
      </c>
      <c r="E133" s="15" t="s">
        <v>751</v>
      </c>
      <c r="F133" s="15" t="s">
        <v>752</v>
      </c>
      <c r="G133" s="34" t="s">
        <v>753</v>
      </c>
      <c r="H133" s="24">
        <v>46076.034583333334</v>
      </c>
      <c r="I133" s="24">
        <v>46076.03576388889</v>
      </c>
      <c r="J133" s="12" t="b">
        <v>1</v>
      </c>
    </row>
    <row r="134" ht="14.25" customHeight="1">
      <c r="A134" s="7" t="s">
        <v>754</v>
      </c>
      <c r="B134" s="7" t="s">
        <v>755</v>
      </c>
      <c r="C134" s="13" t="s">
        <v>756</v>
      </c>
      <c r="D134" s="13" t="s">
        <v>756</v>
      </c>
      <c r="E134" s="15" t="s">
        <v>369</v>
      </c>
      <c r="F134" s="15" t="s">
        <v>757</v>
      </c>
      <c r="G134" s="35" t="s">
        <v>758</v>
      </c>
      <c r="H134" s="24">
        <v>46076.37327546296</v>
      </c>
      <c r="I134" s="24">
        <v>46156.00456018518</v>
      </c>
      <c r="J134" s="12" t="b">
        <v>1</v>
      </c>
    </row>
    <row r="135" ht="14.25" customHeight="1">
      <c r="A135" s="7" t="s">
        <v>759</v>
      </c>
      <c r="B135" s="18" t="s">
        <v>760</v>
      </c>
      <c r="C135" s="13" t="s">
        <v>761</v>
      </c>
      <c r="D135" s="13" t="s">
        <v>761</v>
      </c>
      <c r="E135" s="15" t="s">
        <v>300</v>
      </c>
      <c r="F135" s="15" t="s">
        <v>762</v>
      </c>
      <c r="G135" s="34" t="s">
        <v>763</v>
      </c>
      <c r="H135" s="24">
        <v>46076.64042824074</v>
      </c>
      <c r="I135" s="24">
        <v>46076.64042824074</v>
      </c>
      <c r="J135" s="12" t="b">
        <v>1</v>
      </c>
    </row>
    <row r="136" ht="14.25" customHeight="1">
      <c r="A136" s="7" t="s">
        <v>764</v>
      </c>
      <c r="B136" s="7" t="s">
        <v>765</v>
      </c>
      <c r="C136" s="13" t="s">
        <v>766</v>
      </c>
      <c r="D136" s="13" t="s">
        <v>766</v>
      </c>
      <c r="E136" s="15" t="s">
        <v>300</v>
      </c>
      <c r="F136" s="15" t="s">
        <v>767</v>
      </c>
      <c r="G136" s="35" t="s">
        <v>768</v>
      </c>
      <c r="H136" s="24">
        <v>46076.64277777778</v>
      </c>
      <c r="I136" s="24">
        <v>46160.68171296296</v>
      </c>
      <c r="J136" s="12" t="b">
        <v>1</v>
      </c>
    </row>
    <row r="137" ht="14.25" customHeight="1">
      <c r="A137" s="7" t="s">
        <v>769</v>
      </c>
      <c r="B137" s="18" t="s">
        <v>770</v>
      </c>
      <c r="C137" s="13" t="s">
        <v>771</v>
      </c>
      <c r="D137" s="13" t="s">
        <v>771</v>
      </c>
      <c r="E137" s="15" t="s">
        <v>772</v>
      </c>
      <c r="F137" s="15" t="s">
        <v>773</v>
      </c>
      <c r="G137" s="34" t="s">
        <v>774</v>
      </c>
      <c r="H137" s="24">
        <v>46076.826689814814</v>
      </c>
      <c r="I137" s="24">
        <v>46145.445914351854</v>
      </c>
      <c r="J137" s="12" t="b">
        <v>1</v>
      </c>
    </row>
    <row r="138" ht="14.25" customHeight="1">
      <c r="A138" s="7" t="s">
        <v>775</v>
      </c>
      <c r="B138" s="18" t="s">
        <v>776</v>
      </c>
      <c r="C138" s="13" t="s">
        <v>777</v>
      </c>
      <c r="D138" s="13" t="s">
        <v>777</v>
      </c>
      <c r="E138" s="15" t="s">
        <v>778</v>
      </c>
      <c r="F138" s="15" t="s">
        <v>779</v>
      </c>
      <c r="G138" s="20" t="s">
        <v>780</v>
      </c>
      <c r="H138" s="24">
        <v>46076.8506712963</v>
      </c>
      <c r="I138" s="24">
        <v>46143.49190972222</v>
      </c>
      <c r="J138" s="12" t="b">
        <v>1</v>
      </c>
    </row>
    <row r="139" ht="14.25" customHeight="1">
      <c r="A139" s="7" t="s">
        <v>781</v>
      </c>
      <c r="B139" s="18" t="s">
        <v>782</v>
      </c>
      <c r="C139" s="13" t="s">
        <v>783</v>
      </c>
      <c r="D139" s="13" t="s">
        <v>783</v>
      </c>
      <c r="E139" s="15" t="s">
        <v>784</v>
      </c>
      <c r="F139" s="15" t="s">
        <v>785</v>
      </c>
      <c r="G139" s="16" t="s">
        <v>786</v>
      </c>
      <c r="H139" s="24">
        <v>46079.098969907405</v>
      </c>
      <c r="I139" s="24">
        <v>46156.68859953704</v>
      </c>
      <c r="J139" s="12" t="b">
        <v>1</v>
      </c>
    </row>
    <row r="140" ht="14.25" customHeight="1">
      <c r="A140" s="7" t="s">
        <v>787</v>
      </c>
      <c r="B140" s="7" t="s">
        <v>788</v>
      </c>
      <c r="C140" s="13" t="s">
        <v>789</v>
      </c>
      <c r="D140" s="13" t="s">
        <v>789</v>
      </c>
      <c r="E140" s="15" t="s">
        <v>729</v>
      </c>
      <c r="F140" s="15" t="s">
        <v>790</v>
      </c>
      <c r="G140" s="36" t="s">
        <v>791</v>
      </c>
      <c r="H140" s="24">
        <v>46081.77510416666</v>
      </c>
      <c r="I140" s="24">
        <v>46144.691782407404</v>
      </c>
      <c r="J140" s="12" t="b">
        <v>1</v>
      </c>
    </row>
    <row r="141" ht="14.25" customHeight="1">
      <c r="A141" s="7" t="s">
        <v>792</v>
      </c>
      <c r="B141" s="18" t="s">
        <v>793</v>
      </c>
      <c r="C141" s="13" t="s">
        <v>794</v>
      </c>
      <c r="D141" s="13" t="s">
        <v>794</v>
      </c>
      <c r="E141" s="15" t="s">
        <v>181</v>
      </c>
      <c r="F141" s="15" t="s">
        <v>795</v>
      </c>
      <c r="G141" s="20" t="s">
        <v>796</v>
      </c>
      <c r="H141" s="24">
        <v>46081.822962962964</v>
      </c>
      <c r="I141" s="24">
        <v>46088.51909722222</v>
      </c>
      <c r="J141" s="12" t="b">
        <v>1</v>
      </c>
    </row>
    <row r="142" ht="14.25" customHeight="1">
      <c r="A142" s="7" t="s">
        <v>797</v>
      </c>
      <c r="B142" s="18" t="s">
        <v>798</v>
      </c>
      <c r="C142" s="13" t="s">
        <v>799</v>
      </c>
      <c r="D142" s="13" t="s">
        <v>799</v>
      </c>
      <c r="E142" s="15" t="s">
        <v>565</v>
      </c>
      <c r="F142" s="15" t="s">
        <v>800</v>
      </c>
      <c r="G142" s="36" t="s">
        <v>801</v>
      </c>
      <c r="H142" s="24">
        <v>46081.91719907407</v>
      </c>
      <c r="I142" s="24">
        <v>46081.91719907407</v>
      </c>
      <c r="J142" s="12" t="b">
        <v>1</v>
      </c>
    </row>
    <row r="143" ht="14.25" customHeight="1">
      <c r="A143" s="7" t="s">
        <v>802</v>
      </c>
      <c r="B143" s="18" t="s">
        <v>803</v>
      </c>
      <c r="C143" s="13" t="s">
        <v>804</v>
      </c>
      <c r="D143" s="13" t="s">
        <v>804</v>
      </c>
      <c r="E143" s="15" t="s">
        <v>194</v>
      </c>
      <c r="F143" s="15" t="s">
        <v>805</v>
      </c>
      <c r="G143" s="21" t="s">
        <v>806</v>
      </c>
      <c r="H143" s="24">
        <v>46083.081828703704</v>
      </c>
      <c r="I143" s="24">
        <v>46151.68819444445</v>
      </c>
      <c r="J143" s="12" t="b">
        <v>1</v>
      </c>
    </row>
    <row r="144" ht="14.25" customHeight="1">
      <c r="A144" s="7" t="s">
        <v>807</v>
      </c>
      <c r="B144" s="7" t="s">
        <v>808</v>
      </c>
      <c r="C144" s="13" t="s">
        <v>809</v>
      </c>
      <c r="D144" s="13" t="s">
        <v>809</v>
      </c>
      <c r="E144" s="14" t="s">
        <v>810</v>
      </c>
      <c r="F144" s="14" t="s">
        <v>811</v>
      </c>
      <c r="G144" s="21" t="s">
        <v>812</v>
      </c>
      <c r="H144" s="24">
        <v>46088.013715277775</v>
      </c>
      <c r="I144" s="24">
        <v>46159.51608796296</v>
      </c>
      <c r="J144" s="12" t="b">
        <v>1</v>
      </c>
    </row>
    <row r="145" ht="14.25" customHeight="1">
      <c r="A145" s="7" t="s">
        <v>813</v>
      </c>
      <c r="B145" s="7" t="s">
        <v>814</v>
      </c>
      <c r="C145" s="13" t="s">
        <v>815</v>
      </c>
      <c r="D145" s="13" t="s">
        <v>815</v>
      </c>
      <c r="E145" s="14" t="s">
        <v>816</v>
      </c>
      <c r="F145" s="14" t="s">
        <v>817</v>
      </c>
      <c r="G145" s="21" t="s">
        <v>818</v>
      </c>
      <c r="H145" s="24">
        <v>46089.112129629626</v>
      </c>
      <c r="I145" s="24">
        <v>46089.112129629626</v>
      </c>
      <c r="J145" s="12" t="b">
        <v>1</v>
      </c>
    </row>
    <row r="146" ht="14.25" customHeight="1">
      <c r="A146" s="7" t="s">
        <v>819</v>
      </c>
      <c r="B146" s="7" t="s">
        <v>820</v>
      </c>
      <c r="C146" s="13" t="s">
        <v>821</v>
      </c>
      <c r="D146" s="13" t="s">
        <v>821</v>
      </c>
      <c r="E146" s="15" t="s">
        <v>50</v>
      </c>
      <c r="F146" s="15" t="s">
        <v>822</v>
      </c>
      <c r="G146" s="21" t="s">
        <v>823</v>
      </c>
      <c r="H146" s="24">
        <v>46089.555347222224</v>
      </c>
      <c r="I146" s="24">
        <v>46089.55940972222</v>
      </c>
      <c r="J146" s="12" t="b">
        <v>1</v>
      </c>
    </row>
    <row r="147" ht="14.25" customHeight="1">
      <c r="A147" s="7" t="s">
        <v>824</v>
      </c>
      <c r="B147" s="7" t="s">
        <v>825</v>
      </c>
      <c r="C147" s="13" t="s">
        <v>826</v>
      </c>
      <c r="D147" s="13" t="s">
        <v>826</v>
      </c>
      <c r="E147" s="14" t="s">
        <v>827</v>
      </c>
      <c r="F147" s="15" t="s">
        <v>828</v>
      </c>
      <c r="G147" s="21" t="s">
        <v>829</v>
      </c>
      <c r="H147" s="24">
        <v>46089.628645833334</v>
      </c>
      <c r="I147" s="24">
        <v>46141.00509259259</v>
      </c>
      <c r="J147" s="12" t="b">
        <v>1</v>
      </c>
    </row>
    <row r="148" ht="14.25" customHeight="1">
      <c r="A148" s="7" t="s">
        <v>830</v>
      </c>
      <c r="B148" s="7" t="s">
        <v>831</v>
      </c>
      <c r="C148" s="13" t="s">
        <v>832</v>
      </c>
      <c r="D148" s="13" t="s">
        <v>832</v>
      </c>
      <c r="E148" s="15" t="s">
        <v>833</v>
      </c>
      <c r="F148" s="15" t="s">
        <v>834</v>
      </c>
      <c r="G148" s="21" t="s">
        <v>835</v>
      </c>
      <c r="H148" s="24">
        <v>46089.870891203704</v>
      </c>
      <c r="I148" s="24">
        <v>46091.535474537035</v>
      </c>
      <c r="J148" s="12" t="b">
        <v>1</v>
      </c>
    </row>
    <row r="149" ht="14.25" customHeight="1">
      <c r="A149" s="7" t="s">
        <v>836</v>
      </c>
      <c r="B149" s="18" t="s">
        <v>837</v>
      </c>
      <c r="C149" s="13" t="s">
        <v>838</v>
      </c>
      <c r="D149" s="13" t="s">
        <v>838</v>
      </c>
      <c r="E149" s="15" t="s">
        <v>369</v>
      </c>
      <c r="F149" s="15" t="s">
        <v>839</v>
      </c>
      <c r="G149" s="21" t="s">
        <v>840</v>
      </c>
      <c r="H149" s="24">
        <v>46090.50777777778</v>
      </c>
      <c r="I149" s="24">
        <v>46160.787939814814</v>
      </c>
      <c r="J149" s="12" t="b">
        <v>1</v>
      </c>
    </row>
    <row r="150" ht="14.25" customHeight="1">
      <c r="A150" s="7" t="s">
        <v>841</v>
      </c>
      <c r="B150" s="18" t="s">
        <v>842</v>
      </c>
      <c r="C150" s="13" t="s">
        <v>843</v>
      </c>
      <c r="D150" s="13" t="s">
        <v>843</v>
      </c>
      <c r="E150" s="15" t="s">
        <v>414</v>
      </c>
      <c r="F150" s="15" t="s">
        <v>844</v>
      </c>
      <c r="G150" s="21" t="s">
        <v>845</v>
      </c>
      <c r="H150" s="24">
        <v>46090.994050925925</v>
      </c>
      <c r="I150" s="24">
        <v>46094.920324074075</v>
      </c>
      <c r="J150" s="12" t="b">
        <v>1</v>
      </c>
    </row>
    <row r="151" ht="14.25" customHeight="1">
      <c r="A151" s="7" t="s">
        <v>846</v>
      </c>
      <c r="B151" s="7" t="s">
        <v>847</v>
      </c>
      <c r="C151" s="13" t="s">
        <v>848</v>
      </c>
      <c r="D151" s="13" t="s">
        <v>848</v>
      </c>
      <c r="E151" s="15" t="s">
        <v>187</v>
      </c>
      <c r="F151" s="15" t="s">
        <v>849</v>
      </c>
      <c r="G151" s="21" t="s">
        <v>850</v>
      </c>
      <c r="H151" s="24">
        <v>46091.494409722225</v>
      </c>
      <c r="I151" s="24">
        <v>46091.512141203704</v>
      </c>
      <c r="J151" s="12" t="b">
        <v>1</v>
      </c>
    </row>
    <row r="152" ht="14.25" customHeight="1">
      <c r="A152" s="7" t="s">
        <v>851</v>
      </c>
      <c r="B152" s="18" t="s">
        <v>852</v>
      </c>
      <c r="C152" s="13" t="s">
        <v>853</v>
      </c>
      <c r="D152" s="13" t="s">
        <v>854</v>
      </c>
      <c r="E152" s="15" t="s">
        <v>260</v>
      </c>
      <c r="F152" s="15" t="s">
        <v>855</v>
      </c>
      <c r="G152" s="21" t="s">
        <v>856</v>
      </c>
      <c r="H152" s="24">
        <v>46092.69912037037</v>
      </c>
      <c r="I152" s="24">
        <v>46154.86697916667</v>
      </c>
      <c r="J152" s="12" t="b">
        <v>1</v>
      </c>
    </row>
    <row r="153" ht="14.25" customHeight="1">
      <c r="A153" s="7" t="s">
        <v>857</v>
      </c>
      <c r="B153" s="7" t="s">
        <v>858</v>
      </c>
      <c r="C153" s="13" t="s">
        <v>859</v>
      </c>
      <c r="D153" s="13" t="s">
        <v>859</v>
      </c>
      <c r="E153" s="15" t="s">
        <v>318</v>
      </c>
      <c r="F153" s="15" t="s">
        <v>860</v>
      </c>
      <c r="G153" s="21" t="s">
        <v>861</v>
      </c>
      <c r="H153" s="24">
        <v>46101.64822916667</v>
      </c>
      <c r="I153" s="24">
        <v>46101.64822916667</v>
      </c>
      <c r="J153" s="12" t="b">
        <v>1</v>
      </c>
    </row>
    <row r="154" ht="14.25" customHeight="1">
      <c r="A154" s="7" t="s">
        <v>862</v>
      </c>
      <c r="B154" s="18" t="s">
        <v>863</v>
      </c>
      <c r="C154" s="13" t="s">
        <v>864</v>
      </c>
      <c r="D154" s="13" t="s">
        <v>864</v>
      </c>
      <c r="E154" s="15" t="s">
        <v>194</v>
      </c>
      <c r="F154" s="15" t="s">
        <v>865</v>
      </c>
      <c r="G154" s="21" t="s">
        <v>866</v>
      </c>
      <c r="H154" s="24">
        <v>46109.94519675926</v>
      </c>
      <c r="I154" s="24">
        <v>46109.951319444444</v>
      </c>
      <c r="J154" s="12" t="b">
        <v>1</v>
      </c>
    </row>
    <row r="155" ht="14.25" customHeight="1">
      <c r="A155" s="7" t="s">
        <v>867</v>
      </c>
      <c r="B155" s="18" t="s">
        <v>868</v>
      </c>
      <c r="C155" s="13" t="s">
        <v>869</v>
      </c>
      <c r="D155" s="13" t="s">
        <v>869</v>
      </c>
      <c r="E155" s="15" t="s">
        <v>870</v>
      </c>
      <c r="F155" s="15" t="s">
        <v>871</v>
      </c>
      <c r="G155" s="36" t="s">
        <v>872</v>
      </c>
      <c r="H155" s="24">
        <v>46109.95673611111</v>
      </c>
      <c r="I155" s="24">
        <v>46109.962546296294</v>
      </c>
      <c r="J155" s="12" t="b">
        <v>1</v>
      </c>
    </row>
    <row r="156" ht="14.25" customHeight="1">
      <c r="A156" s="7" t="s">
        <v>873</v>
      </c>
      <c r="B156" s="7" t="s">
        <v>874</v>
      </c>
      <c r="C156" s="13" t="s">
        <v>875</v>
      </c>
      <c r="D156" s="13" t="s">
        <v>875</v>
      </c>
      <c r="E156" s="15" t="s">
        <v>452</v>
      </c>
      <c r="F156" s="15" t="s">
        <v>876</v>
      </c>
      <c r="G156" s="21" t="s">
        <v>877</v>
      </c>
      <c r="H156" s="24">
        <v>46110.03456018519</v>
      </c>
      <c r="I156" s="24">
        <v>46158.57041666667</v>
      </c>
      <c r="J156" s="12" t="b">
        <v>1</v>
      </c>
    </row>
    <row r="157" ht="14.25" customHeight="1">
      <c r="A157" s="7" t="s">
        <v>878</v>
      </c>
      <c r="B157" s="7" t="s">
        <v>204</v>
      </c>
      <c r="C157" s="13" t="s">
        <v>879</v>
      </c>
      <c r="D157" s="13" t="s">
        <v>879</v>
      </c>
      <c r="E157" s="15" t="s">
        <v>880</v>
      </c>
      <c r="F157" s="15" t="s">
        <v>881</v>
      </c>
      <c r="G157" s="36" t="s">
        <v>882</v>
      </c>
      <c r="H157" s="24">
        <v>46110.22429398148</v>
      </c>
      <c r="I157" s="24">
        <v>46111.453055555554</v>
      </c>
      <c r="J157" s="12" t="b">
        <v>1</v>
      </c>
    </row>
    <row r="158" ht="14.25" customHeight="1">
      <c r="A158" s="7" t="s">
        <v>883</v>
      </c>
      <c r="B158" s="7" t="s">
        <v>884</v>
      </c>
      <c r="C158" s="13" t="s">
        <v>885</v>
      </c>
      <c r="D158" s="13" t="s">
        <v>885</v>
      </c>
      <c r="E158" s="14" t="s">
        <v>886</v>
      </c>
      <c r="F158" s="14" t="s">
        <v>887</v>
      </c>
      <c r="G158" s="36" t="s">
        <v>888</v>
      </c>
      <c r="H158" s="24">
        <v>46110.55094907407</v>
      </c>
      <c r="I158" s="24">
        <v>46110.55094907407</v>
      </c>
      <c r="J158" s="12" t="b">
        <v>1</v>
      </c>
    </row>
    <row r="159" ht="14.25" customHeight="1">
      <c r="A159" s="7" t="s">
        <v>889</v>
      </c>
      <c r="B159" s="18" t="s">
        <v>890</v>
      </c>
      <c r="C159" s="13" t="s">
        <v>891</v>
      </c>
      <c r="D159" s="13" t="s">
        <v>891</v>
      </c>
      <c r="E159" s="14" t="s">
        <v>892</v>
      </c>
      <c r="F159" s="14" t="s">
        <v>893</v>
      </c>
      <c r="G159" s="36" t="s">
        <v>894</v>
      </c>
      <c r="H159" s="24">
        <v>46110.586701388886</v>
      </c>
      <c r="I159" s="24">
        <v>46110.58782407407</v>
      </c>
      <c r="J159" s="12" t="b">
        <v>1</v>
      </c>
    </row>
    <row r="160" ht="14.25" customHeight="1">
      <c r="A160" s="7" t="s">
        <v>895</v>
      </c>
      <c r="B160" s="18" t="s">
        <v>896</v>
      </c>
      <c r="C160" s="13" t="s">
        <v>897</v>
      </c>
      <c r="D160" s="13" t="s">
        <v>897</v>
      </c>
      <c r="E160" s="15" t="s">
        <v>778</v>
      </c>
      <c r="F160" s="15" t="s">
        <v>898</v>
      </c>
      <c r="G160" s="21" t="s">
        <v>899</v>
      </c>
      <c r="H160" s="24">
        <v>46110.61082175926</v>
      </c>
      <c r="I160" s="24">
        <v>46156.314988425926</v>
      </c>
      <c r="J160" s="12" t="b">
        <v>1</v>
      </c>
    </row>
    <row r="161" ht="14.25" customHeight="1">
      <c r="A161" s="7" t="s">
        <v>900</v>
      </c>
      <c r="B161" s="7" t="s">
        <v>901</v>
      </c>
      <c r="C161" s="13" t="s">
        <v>902</v>
      </c>
      <c r="D161" s="13" t="s">
        <v>902</v>
      </c>
      <c r="E161" s="15" t="s">
        <v>903</v>
      </c>
      <c r="F161" s="14" t="s">
        <v>904</v>
      </c>
      <c r="G161" s="21" t="s">
        <v>905</v>
      </c>
      <c r="H161" s="24">
        <v>46111.01604166667</v>
      </c>
      <c r="I161" s="24">
        <v>46144.73569444445</v>
      </c>
      <c r="J161" s="12" t="b">
        <v>1</v>
      </c>
    </row>
    <row r="162" ht="14.25" customHeight="1">
      <c r="A162" s="7" t="s">
        <v>906</v>
      </c>
      <c r="B162" s="7" t="s">
        <v>907</v>
      </c>
      <c r="C162" s="13" t="s">
        <v>908</v>
      </c>
      <c r="D162" s="13" t="s">
        <v>908</v>
      </c>
      <c r="E162" s="15" t="s">
        <v>266</v>
      </c>
      <c r="F162" s="15" t="s">
        <v>909</v>
      </c>
      <c r="G162" s="21" t="s">
        <v>910</v>
      </c>
      <c r="H162" s="24">
        <v>46111.52211805555</v>
      </c>
      <c r="I162" s="24">
        <v>46111.52211805555</v>
      </c>
      <c r="J162" s="12" t="b">
        <v>1</v>
      </c>
    </row>
    <row r="163" ht="14.25" customHeight="1">
      <c r="A163" s="7" t="s">
        <v>911</v>
      </c>
      <c r="B163" s="18" t="s">
        <v>912</v>
      </c>
      <c r="C163" s="13" t="s">
        <v>913</v>
      </c>
      <c r="D163" s="13" t="s">
        <v>913</v>
      </c>
      <c r="E163" s="15" t="s">
        <v>381</v>
      </c>
      <c r="F163" s="15" t="s">
        <v>914</v>
      </c>
      <c r="G163" s="21" t="s">
        <v>915</v>
      </c>
      <c r="H163" s="24">
        <v>46111.595555555556</v>
      </c>
      <c r="I163" s="24">
        <v>46145.6303587963</v>
      </c>
      <c r="J163" s="12" t="b">
        <v>1</v>
      </c>
    </row>
    <row r="164" ht="14.25" customHeight="1">
      <c r="A164" s="7" t="s">
        <v>916</v>
      </c>
      <c r="B164" s="7" t="s">
        <v>917</v>
      </c>
      <c r="C164" s="13" t="s">
        <v>918</v>
      </c>
      <c r="D164" s="13" t="s">
        <v>918</v>
      </c>
      <c r="E164" s="15" t="s">
        <v>778</v>
      </c>
      <c r="F164" s="15" t="s">
        <v>919</v>
      </c>
      <c r="G164" s="21" t="s">
        <v>920</v>
      </c>
      <c r="H164" s="24">
        <v>46111.59594907407</v>
      </c>
      <c r="I164" s="24">
        <v>46155.526041666664</v>
      </c>
      <c r="J164" s="12" t="b">
        <v>1</v>
      </c>
    </row>
    <row r="165" ht="14.25" customHeight="1">
      <c r="A165" s="7" t="s">
        <v>921</v>
      </c>
      <c r="B165" s="7" t="s">
        <v>922</v>
      </c>
      <c r="C165" s="13" t="s">
        <v>923</v>
      </c>
      <c r="D165" s="13" t="s">
        <v>923</v>
      </c>
      <c r="E165" s="15" t="s">
        <v>86</v>
      </c>
      <c r="F165" s="15" t="s">
        <v>924</v>
      </c>
      <c r="G165" s="21" t="s">
        <v>925</v>
      </c>
      <c r="H165" s="24">
        <v>46111.610081018516</v>
      </c>
      <c r="I165" s="24">
        <v>46146.49728009259</v>
      </c>
      <c r="J165" s="12" t="b">
        <v>1</v>
      </c>
    </row>
    <row r="166" ht="14.25" customHeight="1">
      <c r="A166" s="7" t="s">
        <v>926</v>
      </c>
      <c r="B166" s="18" t="s">
        <v>927</v>
      </c>
      <c r="C166" s="13" t="s">
        <v>928</v>
      </c>
      <c r="D166" s="13" t="s">
        <v>928</v>
      </c>
      <c r="E166" s="15" t="s">
        <v>260</v>
      </c>
      <c r="F166" s="15" t="s">
        <v>929</v>
      </c>
      <c r="G166" s="21" t="s">
        <v>930</v>
      </c>
      <c r="H166" s="24">
        <v>46124.034583333334</v>
      </c>
      <c r="I166" s="24">
        <v>46157.82717592592</v>
      </c>
      <c r="J166" s="12" t="b">
        <v>1</v>
      </c>
    </row>
    <row r="167" ht="14.25" customHeight="1">
      <c r="A167" s="7" t="s">
        <v>931</v>
      </c>
      <c r="B167" s="7" t="s">
        <v>932</v>
      </c>
      <c r="C167" s="13" t="s">
        <v>933</v>
      </c>
      <c r="D167" s="13" t="s">
        <v>933</v>
      </c>
      <c r="E167" s="15" t="s">
        <v>934</v>
      </c>
      <c r="F167" s="14" t="s">
        <v>935</v>
      </c>
      <c r="G167" s="21" t="s">
        <v>936</v>
      </c>
      <c r="H167" s="24">
        <v>46124.85958333333</v>
      </c>
      <c r="I167" s="24">
        <v>46124.86168981482</v>
      </c>
      <c r="J167" s="12" t="b">
        <v>1</v>
      </c>
    </row>
    <row r="168" ht="14.25" customHeight="1">
      <c r="A168" s="7" t="s">
        <v>937</v>
      </c>
      <c r="B168" s="7" t="s">
        <v>938</v>
      </c>
      <c r="C168" s="13" t="s">
        <v>939</v>
      </c>
      <c r="D168" s="13" t="s">
        <v>939</v>
      </c>
      <c r="E168" s="14" t="s">
        <v>526</v>
      </c>
      <c r="F168" s="14" t="s">
        <v>940</v>
      </c>
      <c r="G168" s="36" t="s">
        <v>941</v>
      </c>
      <c r="H168" s="24">
        <v>46125.566770833335</v>
      </c>
      <c r="I168" s="24">
        <v>46159.431539351855</v>
      </c>
      <c r="J168" s="12" t="b">
        <v>1</v>
      </c>
    </row>
    <row r="169" ht="14.25" customHeight="1">
      <c r="A169" s="7" t="s">
        <v>942</v>
      </c>
      <c r="B169" s="18" t="s">
        <v>943</v>
      </c>
      <c r="C169" s="13" t="s">
        <v>944</v>
      </c>
      <c r="D169" s="13" t="s">
        <v>944</v>
      </c>
      <c r="E169" s="15" t="s">
        <v>50</v>
      </c>
      <c r="F169" s="15" t="s">
        <v>945</v>
      </c>
      <c r="G169" s="36" t="s">
        <v>946</v>
      </c>
      <c r="H169" s="24">
        <v>46125.59193287037</v>
      </c>
      <c r="I169" s="24">
        <v>46125.63056712963</v>
      </c>
      <c r="J169" s="12" t="b">
        <v>1</v>
      </c>
    </row>
    <row r="170" ht="14.25" customHeight="1">
      <c r="A170" s="7" t="s">
        <v>947</v>
      </c>
      <c r="B170" s="18" t="s">
        <v>948</v>
      </c>
      <c r="C170" s="13" t="s">
        <v>949</v>
      </c>
      <c r="D170" s="13" t="s">
        <v>949</v>
      </c>
      <c r="E170" s="15" t="s">
        <v>260</v>
      </c>
      <c r="F170" s="15" t="s">
        <v>950</v>
      </c>
      <c r="G170" s="36" t="s">
        <v>946</v>
      </c>
      <c r="H170" s="24">
        <v>46125.59886574074</v>
      </c>
      <c r="I170" s="24">
        <v>46125.71847222222</v>
      </c>
      <c r="J170" s="12" t="b">
        <v>1</v>
      </c>
    </row>
    <row r="171" ht="14.25" customHeight="1">
      <c r="A171" s="7" t="s">
        <v>951</v>
      </c>
      <c r="B171" s="18" t="s">
        <v>952</v>
      </c>
      <c r="C171" s="13" t="s">
        <v>953</v>
      </c>
      <c r="D171" s="13" t="s">
        <v>953</v>
      </c>
      <c r="E171" s="15" t="s">
        <v>127</v>
      </c>
      <c r="F171" s="15" t="s">
        <v>954</v>
      </c>
      <c r="G171" s="21" t="s">
        <v>955</v>
      </c>
      <c r="H171" s="24">
        <v>46125.772048611114</v>
      </c>
      <c r="I171" s="24">
        <v>46161.67054398148</v>
      </c>
      <c r="J171" s="12" t="b">
        <v>1</v>
      </c>
    </row>
    <row r="172" ht="14.25" customHeight="1">
      <c r="A172" s="7" t="s">
        <v>956</v>
      </c>
      <c r="B172" s="18" t="s">
        <v>957</v>
      </c>
      <c r="C172" s="13" t="s">
        <v>958</v>
      </c>
      <c r="D172" s="13" t="s">
        <v>958</v>
      </c>
      <c r="E172" s="15" t="s">
        <v>414</v>
      </c>
      <c r="F172" s="15" t="s">
        <v>959</v>
      </c>
      <c r="G172" s="36" t="s">
        <v>960</v>
      </c>
      <c r="H172" s="24">
        <v>46129.43341435185</v>
      </c>
      <c r="I172" s="24">
        <v>46129.43341435185</v>
      </c>
      <c r="J172" s="12" t="b">
        <v>1</v>
      </c>
    </row>
    <row r="173" ht="14.25" customHeight="1">
      <c r="A173" s="7" t="s">
        <v>961</v>
      </c>
      <c r="B173" s="18" t="s">
        <v>962</v>
      </c>
      <c r="C173" s="13" t="s">
        <v>963</v>
      </c>
      <c r="D173" s="13" t="s">
        <v>963</v>
      </c>
      <c r="E173" s="15" t="s">
        <v>964</v>
      </c>
      <c r="F173" s="15" t="s">
        <v>965</v>
      </c>
      <c r="G173" s="21" t="s">
        <v>966</v>
      </c>
      <c r="H173" s="24">
        <v>46130.65945601852</v>
      </c>
      <c r="I173" s="24">
        <v>46130.659837962965</v>
      </c>
      <c r="J173" s="12" t="b">
        <v>1</v>
      </c>
      <c r="N173" s="12" t="s">
        <v>45</v>
      </c>
      <c r="O173" s="19">
        <v>24.31905160812305</v>
      </c>
      <c r="P173" s="19">
        <v>54.614734315080874</v>
      </c>
      <c r="Q173" s="20" t="s">
        <v>966</v>
      </c>
    </row>
    <row r="174" ht="14.25" customHeight="1">
      <c r="A174" s="7" t="s">
        <v>967</v>
      </c>
      <c r="B174" s="18" t="s">
        <v>968</v>
      </c>
      <c r="C174" s="13" t="s">
        <v>969</v>
      </c>
      <c r="D174" s="13" t="s">
        <v>969</v>
      </c>
      <c r="E174" s="15" t="s">
        <v>289</v>
      </c>
      <c r="F174" s="15" t="s">
        <v>970</v>
      </c>
      <c r="G174" s="36" t="s">
        <v>971</v>
      </c>
      <c r="H174" s="24">
        <v>46130.684965277775</v>
      </c>
      <c r="I174" s="24">
        <v>46149.966157407405</v>
      </c>
      <c r="J174" s="12" t="b">
        <v>1</v>
      </c>
      <c r="N174" s="12" t="s">
        <v>45</v>
      </c>
      <c r="O174" s="19">
        <v>24.4595001</v>
      </c>
      <c r="P174" s="19">
        <v>54.381497</v>
      </c>
      <c r="Q174" s="20" t="s">
        <v>971</v>
      </c>
    </row>
    <row r="175" ht="14.25" customHeight="1">
      <c r="A175" s="7" t="s">
        <v>972</v>
      </c>
      <c r="B175" s="18" t="s">
        <v>973</v>
      </c>
      <c r="C175" s="13" t="s">
        <v>974</v>
      </c>
      <c r="D175" s="13" t="s">
        <v>974</v>
      </c>
      <c r="E175" s="15" t="s">
        <v>497</v>
      </c>
      <c r="F175" s="15" t="s">
        <v>975</v>
      </c>
      <c r="G175" s="37" t="s">
        <v>976</v>
      </c>
      <c r="H175" s="24">
        <v>46130.69268518518</v>
      </c>
      <c r="I175" s="24">
        <v>46161.98028935185</v>
      </c>
      <c r="J175" s="12" t="b">
        <v>1</v>
      </c>
      <c r="N175" s="12" t="s">
        <v>45</v>
      </c>
      <c r="O175" s="19">
        <v>24.4018107</v>
      </c>
      <c r="P175" s="19">
        <v>54.519146</v>
      </c>
      <c r="Q175" s="20" t="s">
        <v>976</v>
      </c>
    </row>
    <row r="176" ht="14.25" customHeight="1">
      <c r="A176" s="7" t="s">
        <v>977</v>
      </c>
      <c r="B176" s="18" t="s">
        <v>978</v>
      </c>
      <c r="C176" s="13" t="s">
        <v>979</v>
      </c>
      <c r="D176" s="13" t="s">
        <v>979</v>
      </c>
      <c r="E176" s="15" t="s">
        <v>980</v>
      </c>
      <c r="F176" s="15" t="s">
        <v>981</v>
      </c>
      <c r="G176" s="36" t="s">
        <v>982</v>
      </c>
      <c r="H176" s="24">
        <v>46130.793761574074</v>
      </c>
      <c r="I176" s="24">
        <v>46156.44604166667</v>
      </c>
      <c r="J176" s="12" t="b">
        <v>1</v>
      </c>
      <c r="N176" s="12" t="s">
        <v>45</v>
      </c>
      <c r="O176" s="19">
        <v>24.4564229</v>
      </c>
      <c r="P176" s="19">
        <v>54.3908429</v>
      </c>
      <c r="Q176" s="20" t="s">
        <v>982</v>
      </c>
    </row>
    <row r="177" ht="14.25" customHeight="1">
      <c r="A177" s="7" t="s">
        <v>983</v>
      </c>
      <c r="B177" s="18" t="s">
        <v>984</v>
      </c>
      <c r="C177" s="13" t="s">
        <v>985</v>
      </c>
      <c r="D177" s="13" t="s">
        <v>985</v>
      </c>
      <c r="E177" s="15" t="s">
        <v>369</v>
      </c>
      <c r="F177" s="15" t="s">
        <v>986</v>
      </c>
      <c r="G177" s="21" t="s">
        <v>987</v>
      </c>
      <c r="H177" s="24">
        <v>46130.9812962963</v>
      </c>
      <c r="I177" s="24">
        <v>46130.982141203705</v>
      </c>
      <c r="J177" s="12" t="b">
        <v>1</v>
      </c>
      <c r="N177" s="12" t="s">
        <v>45</v>
      </c>
      <c r="O177" s="19">
        <v>24.470844819641226</v>
      </c>
      <c r="P177" s="19">
        <v>54.347537898025884</v>
      </c>
      <c r="Q177" s="20" t="s">
        <v>987</v>
      </c>
    </row>
    <row r="178" ht="14.25" customHeight="1">
      <c r="A178" s="7" t="s">
        <v>988</v>
      </c>
      <c r="B178" s="7" t="s">
        <v>989</v>
      </c>
      <c r="C178" s="13" t="s">
        <v>990</v>
      </c>
      <c r="D178" s="13" t="s">
        <v>990</v>
      </c>
      <c r="E178" s="15" t="s">
        <v>50</v>
      </c>
      <c r="F178" s="15" t="s">
        <v>991</v>
      </c>
      <c r="G178" s="21" t="s">
        <v>992</v>
      </c>
      <c r="H178" s="24">
        <v>46131.84829861111</v>
      </c>
      <c r="I178" s="24">
        <v>46152.699791666666</v>
      </c>
      <c r="J178" s="12" t="b">
        <v>1</v>
      </c>
      <c r="N178" s="12" t="s">
        <v>45</v>
      </c>
      <c r="O178" s="19">
        <v>24.380355</v>
      </c>
      <c r="P178" s="19">
        <v>54.6460511</v>
      </c>
      <c r="Q178" s="20" t="s">
        <v>992</v>
      </c>
    </row>
    <row r="179" ht="14.25" customHeight="1">
      <c r="A179" s="7" t="s">
        <v>993</v>
      </c>
      <c r="B179" s="7" t="s">
        <v>994</v>
      </c>
      <c r="C179" s="13" t="s">
        <v>995</v>
      </c>
      <c r="D179" s="13" t="s">
        <v>995</v>
      </c>
      <c r="E179" s="15" t="s">
        <v>996</v>
      </c>
      <c r="F179" s="15" t="s">
        <v>997</v>
      </c>
      <c r="G179" s="21" t="s">
        <v>998</v>
      </c>
      <c r="H179" s="24">
        <v>46132.05920138889</v>
      </c>
      <c r="I179" s="24">
        <v>46162.79912037037</v>
      </c>
      <c r="J179" s="12" t="b">
        <v>1</v>
      </c>
      <c r="N179" s="12" t="s">
        <v>45</v>
      </c>
      <c r="O179" s="19">
        <v>24.488377867585715</v>
      </c>
      <c r="P179" s="19">
        <v>54.367009850610614</v>
      </c>
      <c r="Q179" s="20" t="s">
        <v>999</v>
      </c>
    </row>
    <row r="180" ht="14.25" customHeight="1">
      <c r="A180" s="7" t="s">
        <v>1000</v>
      </c>
      <c r="B180" s="7" t="s">
        <v>1001</v>
      </c>
      <c r="C180" s="13" t="s">
        <v>1002</v>
      </c>
      <c r="D180" s="13" t="s">
        <v>1002</v>
      </c>
      <c r="E180" s="14" t="s">
        <v>115</v>
      </c>
      <c r="F180" s="14" t="s">
        <v>1003</v>
      </c>
      <c r="G180" s="21" t="s">
        <v>1004</v>
      </c>
      <c r="H180" s="24">
        <v>46133.5975</v>
      </c>
      <c r="I180" s="24">
        <v>46140.943078703705</v>
      </c>
      <c r="J180" s="12" t="b">
        <v>1</v>
      </c>
      <c r="N180" s="12" t="s">
        <v>45</v>
      </c>
      <c r="O180" s="19">
        <v>24.488371589473537</v>
      </c>
      <c r="P180" s="19">
        <v>54.367044254513516</v>
      </c>
      <c r="Q180" s="20" t="s">
        <v>1005</v>
      </c>
    </row>
    <row r="181" ht="14.25" customHeight="1">
      <c r="A181" s="7" t="s">
        <v>1006</v>
      </c>
      <c r="B181" s="7" t="s">
        <v>1007</v>
      </c>
      <c r="C181" s="13" t="s">
        <v>1008</v>
      </c>
      <c r="D181" s="13" t="s">
        <v>1008</v>
      </c>
      <c r="E181" s="15" t="s">
        <v>784</v>
      </c>
      <c r="F181" s="15" t="s">
        <v>1009</v>
      </c>
      <c r="G181" s="21" t="s">
        <v>1010</v>
      </c>
      <c r="H181" s="24">
        <v>46133.70575231482</v>
      </c>
      <c r="I181" s="24">
        <v>46133.70662037037</v>
      </c>
      <c r="J181" s="12" t="b">
        <v>1</v>
      </c>
      <c r="N181" s="12" t="s">
        <v>45</v>
      </c>
      <c r="O181" s="19">
        <v>24.449356895478534</v>
      </c>
      <c r="P181" s="19">
        <v>54.60404634475709</v>
      </c>
      <c r="Q181" s="20" t="s">
        <v>1010</v>
      </c>
    </row>
    <row r="182" ht="14.25" customHeight="1">
      <c r="A182" s="7" t="s">
        <v>1011</v>
      </c>
      <c r="B182" s="7" t="s">
        <v>1012</v>
      </c>
      <c r="C182" s="13" t="s">
        <v>1013</v>
      </c>
      <c r="D182" s="13" t="s">
        <v>1013</v>
      </c>
      <c r="E182" s="15" t="s">
        <v>181</v>
      </c>
      <c r="F182" s="14" t="s">
        <v>1014</v>
      </c>
      <c r="G182" s="21" t="s">
        <v>1015</v>
      </c>
      <c r="H182" s="24">
        <v>46133.755960648145</v>
      </c>
      <c r="I182" s="24">
        <v>46133.755960648145</v>
      </c>
      <c r="J182" s="12" t="b">
        <v>1</v>
      </c>
      <c r="N182" s="12" t="s">
        <v>45</v>
      </c>
      <c r="O182" s="19">
        <v>24.4430412</v>
      </c>
      <c r="P182" s="19">
        <v>54.4178762</v>
      </c>
      <c r="Q182" s="20" t="s">
        <v>1015</v>
      </c>
    </row>
    <row r="183" ht="14.25" customHeight="1">
      <c r="A183" s="7" t="s">
        <v>1016</v>
      </c>
      <c r="B183" s="7" t="s">
        <v>1017</v>
      </c>
      <c r="C183" s="13" t="s">
        <v>1018</v>
      </c>
      <c r="D183" s="13" t="s">
        <v>1018</v>
      </c>
      <c r="E183" s="14" t="s">
        <v>1019</v>
      </c>
      <c r="F183" s="14" t="s">
        <v>1020</v>
      </c>
      <c r="G183" s="21" t="s">
        <v>1021</v>
      </c>
      <c r="H183" s="24">
        <v>46134.81018518518</v>
      </c>
      <c r="I183" s="24">
        <v>46135.33559027778</v>
      </c>
      <c r="J183" s="12" t="b">
        <v>1</v>
      </c>
      <c r="N183" s="12" t="s">
        <v>45</v>
      </c>
      <c r="O183" s="19">
        <v>24.49899559076929</v>
      </c>
      <c r="P183" s="19">
        <v>54.37477022409441</v>
      </c>
      <c r="Q183" s="20" t="s">
        <v>1021</v>
      </c>
    </row>
    <row r="184" ht="14.25" customHeight="1">
      <c r="A184" s="7" t="s">
        <v>1022</v>
      </c>
      <c r="B184" s="18" t="s">
        <v>1023</v>
      </c>
      <c r="C184" s="13" t="s">
        <v>1024</v>
      </c>
      <c r="D184" s="13" t="s">
        <v>1024</v>
      </c>
      <c r="E184" s="15" t="s">
        <v>1025</v>
      </c>
      <c r="F184" s="15" t="s">
        <v>1026</v>
      </c>
      <c r="G184" s="21" t="s">
        <v>1027</v>
      </c>
      <c r="H184" s="24">
        <v>46134.96179398148</v>
      </c>
      <c r="I184" s="24">
        <v>46161.675474537034</v>
      </c>
      <c r="J184" s="12" t="b">
        <v>1</v>
      </c>
      <c r="N184" s="12" t="s">
        <v>45</v>
      </c>
      <c r="O184" s="19">
        <v>24.476906066431106</v>
      </c>
      <c r="P184" s="19">
        <v>54.367972972393915</v>
      </c>
      <c r="Q184" s="20" t="s">
        <v>1027</v>
      </c>
    </row>
    <row r="185" ht="14.25" customHeight="1">
      <c r="A185" s="7" t="s">
        <v>1028</v>
      </c>
      <c r="B185" s="18" t="s">
        <v>1029</v>
      </c>
      <c r="C185" s="13" t="s">
        <v>1030</v>
      </c>
      <c r="D185" s="13" t="s">
        <v>1030</v>
      </c>
      <c r="E185" s="15" t="s">
        <v>1031</v>
      </c>
      <c r="F185" s="15" t="s">
        <v>1032</v>
      </c>
      <c r="G185" s="21" t="s">
        <v>1033</v>
      </c>
      <c r="H185" s="24">
        <v>46135.00071759259</v>
      </c>
      <c r="I185" s="24">
        <v>46135.00071759259</v>
      </c>
      <c r="J185" s="12" t="b">
        <v>1</v>
      </c>
      <c r="N185" s="12" t="s">
        <v>45</v>
      </c>
      <c r="O185" s="19">
        <v>25.0653548</v>
      </c>
      <c r="P185" s="19">
        <v>55.2354206</v>
      </c>
      <c r="Q185" s="20" t="s">
        <v>1033</v>
      </c>
    </row>
    <row r="186" ht="14.25" customHeight="1">
      <c r="A186" s="7" t="s">
        <v>1034</v>
      </c>
      <c r="B186" s="7" t="s">
        <v>1035</v>
      </c>
      <c r="C186" s="13" t="s">
        <v>1036</v>
      </c>
      <c r="D186" s="13" t="s">
        <v>1036</v>
      </c>
      <c r="E186" s="15" t="s">
        <v>1037</v>
      </c>
      <c r="F186" s="15" t="s">
        <v>1038</v>
      </c>
      <c r="G186" s="36" t="s">
        <v>1039</v>
      </c>
      <c r="H186" s="24">
        <v>46135.89306712963</v>
      </c>
      <c r="I186" s="24">
        <v>46151.60144675926</v>
      </c>
      <c r="J186" s="12" t="b">
        <v>1</v>
      </c>
      <c r="N186" s="12" t="s">
        <v>45</v>
      </c>
      <c r="O186" s="19">
        <v>24.556686794624948</v>
      </c>
      <c r="P186" s="19">
        <v>54.640817642211914</v>
      </c>
      <c r="Q186" s="20" t="s">
        <v>1039</v>
      </c>
    </row>
    <row r="187" ht="14.25" customHeight="1">
      <c r="A187" s="7" t="s">
        <v>1040</v>
      </c>
      <c r="B187" s="18" t="s">
        <v>1041</v>
      </c>
      <c r="C187" s="13" t="s">
        <v>1042</v>
      </c>
      <c r="D187" s="13" t="s">
        <v>1042</v>
      </c>
      <c r="E187" s="15" t="s">
        <v>1043</v>
      </c>
      <c r="F187" s="15" t="s">
        <v>1044</v>
      </c>
      <c r="G187" s="21" t="s">
        <v>1045</v>
      </c>
      <c r="H187" s="24">
        <v>46135.902407407404</v>
      </c>
      <c r="I187" s="24">
        <v>46139.54240740741</v>
      </c>
      <c r="J187" s="12" t="b">
        <v>1</v>
      </c>
      <c r="N187" s="12" t="s">
        <v>45</v>
      </c>
      <c r="O187" s="19">
        <v>24.488382791676692</v>
      </c>
      <c r="P187" s="19">
        <v>54.36702937609397</v>
      </c>
      <c r="Q187" s="20" t="s">
        <v>1046</v>
      </c>
    </row>
    <row r="188" ht="14.25" customHeight="1">
      <c r="A188" s="7" t="s">
        <v>1047</v>
      </c>
      <c r="B188" s="18" t="s">
        <v>1048</v>
      </c>
      <c r="C188" s="13" t="s">
        <v>1049</v>
      </c>
      <c r="D188" s="13" t="s">
        <v>1049</v>
      </c>
      <c r="E188" s="15" t="s">
        <v>194</v>
      </c>
      <c r="F188" s="15" t="s">
        <v>1050</v>
      </c>
      <c r="G188" s="21" t="s">
        <v>1051</v>
      </c>
      <c r="H188" s="24">
        <v>46136.5005787037</v>
      </c>
      <c r="I188" s="24">
        <v>46136.509247685186</v>
      </c>
      <c r="J188" s="12" t="b">
        <v>1</v>
      </c>
      <c r="N188" s="12" t="s">
        <v>45</v>
      </c>
      <c r="O188" s="19">
        <v>24.4883879098496</v>
      </c>
      <c r="P188" s="19">
        <v>54.366944379807336</v>
      </c>
      <c r="Q188" s="20" t="s">
        <v>1052</v>
      </c>
    </row>
    <row r="189" ht="14.25" customHeight="1">
      <c r="A189" s="7" t="s">
        <v>1053</v>
      </c>
      <c r="B189" s="18" t="s">
        <v>1054</v>
      </c>
      <c r="C189" s="13" t="s">
        <v>1055</v>
      </c>
      <c r="D189" s="13" t="s">
        <v>1055</v>
      </c>
      <c r="E189" s="15" t="s">
        <v>163</v>
      </c>
      <c r="F189" s="15" t="s">
        <v>1056</v>
      </c>
      <c r="G189" s="21" t="s">
        <v>1057</v>
      </c>
      <c r="H189" s="24">
        <v>46136.88979166667</v>
      </c>
      <c r="I189" s="24">
        <v>46151.6294212963</v>
      </c>
      <c r="J189" s="12" t="b">
        <v>1</v>
      </c>
      <c r="N189" s="12" t="s">
        <v>45</v>
      </c>
      <c r="O189" s="19">
        <v>24.4578404</v>
      </c>
      <c r="P189" s="19">
        <v>54.3588195</v>
      </c>
      <c r="Q189" s="20" t="s">
        <v>1057</v>
      </c>
    </row>
    <row r="190" ht="14.25" customHeight="1">
      <c r="A190" s="7" t="s">
        <v>1058</v>
      </c>
      <c r="B190" s="18" t="s">
        <v>1059</v>
      </c>
      <c r="C190" s="13" t="s">
        <v>1060</v>
      </c>
      <c r="D190" s="13" t="s">
        <v>1060</v>
      </c>
      <c r="E190" s="15" t="s">
        <v>86</v>
      </c>
      <c r="F190" s="14" t="s">
        <v>1061</v>
      </c>
      <c r="G190" s="36" t="s">
        <v>1062</v>
      </c>
      <c r="H190" s="24">
        <v>46137.0390625</v>
      </c>
      <c r="I190" s="24">
        <v>46151.66950231481</v>
      </c>
      <c r="J190" s="12" t="b">
        <v>1</v>
      </c>
      <c r="N190" s="12" t="s">
        <v>45</v>
      </c>
      <c r="O190" s="19">
        <v>24.47857816060845</v>
      </c>
      <c r="P190" s="19">
        <v>54.360889282301585</v>
      </c>
      <c r="Q190" s="20" t="s">
        <v>1062</v>
      </c>
    </row>
    <row r="191" ht="14.25" customHeight="1">
      <c r="A191" s="7" t="s">
        <v>1063</v>
      </c>
      <c r="B191" s="18" t="s">
        <v>1064</v>
      </c>
      <c r="C191" s="13" t="s">
        <v>1065</v>
      </c>
      <c r="D191" s="13" t="s">
        <v>1065</v>
      </c>
      <c r="E191" s="15" t="s">
        <v>1066</v>
      </c>
      <c r="F191" s="14" t="s">
        <v>1067</v>
      </c>
      <c r="G191" s="36" t="s">
        <v>1068</v>
      </c>
      <c r="H191" s="24">
        <v>46137.53019675926</v>
      </c>
      <c r="I191" s="24">
        <v>46160.940729166665</v>
      </c>
      <c r="J191" s="12" t="b">
        <v>1</v>
      </c>
      <c r="N191" s="12" t="s">
        <v>45</v>
      </c>
      <c r="O191" s="19">
        <v>24.43004865095136</v>
      </c>
      <c r="P191" s="19">
        <v>54.62129140763867</v>
      </c>
      <c r="Q191" s="20" t="s">
        <v>1068</v>
      </c>
    </row>
    <row r="192" ht="14.25" customHeight="1">
      <c r="A192" s="7" t="s">
        <v>1069</v>
      </c>
      <c r="B192" s="7" t="s">
        <v>1070</v>
      </c>
      <c r="C192" s="13" t="s">
        <v>1071</v>
      </c>
      <c r="D192" s="13" t="s">
        <v>1071</v>
      </c>
      <c r="E192" s="15" t="s">
        <v>1072</v>
      </c>
      <c r="F192" s="15" t="s">
        <v>1073</v>
      </c>
      <c r="G192" s="36" t="s">
        <v>1074</v>
      </c>
      <c r="H192" s="24">
        <v>46138.659212962964</v>
      </c>
      <c r="I192" s="24">
        <v>46138.67146990741</v>
      </c>
      <c r="J192" s="12" t="b">
        <v>1</v>
      </c>
      <c r="N192" s="12" t="s">
        <v>45</v>
      </c>
      <c r="O192" s="19">
        <v>24.491471238626293</v>
      </c>
      <c r="P192" s="19">
        <v>54.37904771200508</v>
      </c>
      <c r="Q192" s="20" t="s">
        <v>1074</v>
      </c>
    </row>
    <row r="193" ht="14.25" customHeight="1">
      <c r="A193" s="7" t="s">
        <v>1075</v>
      </c>
      <c r="B193" s="18" t="s">
        <v>1076</v>
      </c>
      <c r="C193" s="13" t="s">
        <v>1077</v>
      </c>
      <c r="D193" s="13" t="s">
        <v>1077</v>
      </c>
      <c r="E193" s="15" t="s">
        <v>1078</v>
      </c>
      <c r="F193" s="15" t="s">
        <v>1079</v>
      </c>
      <c r="G193" s="36" t="s">
        <v>1080</v>
      </c>
      <c r="H193" s="24">
        <v>46138.78586805556</v>
      </c>
      <c r="I193" s="24">
        <v>46154.50157407407</v>
      </c>
      <c r="J193" s="12" t="b">
        <v>1</v>
      </c>
      <c r="N193" s="12" t="s">
        <v>45</v>
      </c>
      <c r="O193" s="19">
        <v>24.3203767</v>
      </c>
      <c r="P193" s="19">
        <v>54.5380537</v>
      </c>
      <c r="Q193" s="20" t="s">
        <v>1080</v>
      </c>
    </row>
    <row r="194" ht="14.25" customHeight="1">
      <c r="A194" s="7" t="s">
        <v>1081</v>
      </c>
      <c r="B194" s="18" t="s">
        <v>1082</v>
      </c>
      <c r="C194" s="13" t="s">
        <v>1083</v>
      </c>
      <c r="D194" s="13" t="s">
        <v>1083</v>
      </c>
      <c r="E194" s="15" t="s">
        <v>260</v>
      </c>
      <c r="F194" s="15" t="s">
        <v>1084</v>
      </c>
      <c r="G194" s="36" t="s">
        <v>1085</v>
      </c>
      <c r="H194" s="24">
        <v>46138.97255787037</v>
      </c>
      <c r="I194" s="24">
        <v>46138.99979166667</v>
      </c>
      <c r="J194" s="12" t="b">
        <v>1</v>
      </c>
      <c r="N194" s="12" t="s">
        <v>45</v>
      </c>
      <c r="O194" s="19">
        <v>24.3590233</v>
      </c>
      <c r="P194" s="19">
        <v>54.7475746</v>
      </c>
      <c r="Q194" s="20" t="s">
        <v>1085</v>
      </c>
    </row>
    <row r="195" ht="14.25" customHeight="1">
      <c r="A195" s="7" t="s">
        <v>1086</v>
      </c>
      <c r="B195" s="7" t="s">
        <v>1087</v>
      </c>
      <c r="C195" s="13" t="s">
        <v>1088</v>
      </c>
      <c r="D195" s="13" t="s">
        <v>1088</v>
      </c>
      <c r="E195" s="15" t="s">
        <v>1089</v>
      </c>
      <c r="F195" s="15" t="s">
        <v>1090</v>
      </c>
      <c r="G195" s="36" t="s">
        <v>1091</v>
      </c>
      <c r="H195" s="24">
        <v>46141.973715277774</v>
      </c>
      <c r="I195" s="24">
        <v>46145.8272337963</v>
      </c>
      <c r="J195" s="12" t="b">
        <v>1</v>
      </c>
      <c r="N195" s="12" t="s">
        <v>45</v>
      </c>
      <c r="O195" s="19">
        <v>24.4824623</v>
      </c>
      <c r="P195" s="19">
        <v>54.4073493</v>
      </c>
      <c r="Q195" s="20" t="s">
        <v>1091</v>
      </c>
    </row>
    <row r="196" ht="14.25" customHeight="1">
      <c r="A196" s="7" t="s">
        <v>1092</v>
      </c>
      <c r="B196" s="18" t="s">
        <v>1093</v>
      </c>
      <c r="C196" s="13" t="s">
        <v>1094</v>
      </c>
      <c r="D196" s="13" t="s">
        <v>1094</v>
      </c>
      <c r="E196" s="15" t="s">
        <v>156</v>
      </c>
      <c r="F196" s="15" t="s">
        <v>156</v>
      </c>
      <c r="G196" s="36" t="s">
        <v>1095</v>
      </c>
      <c r="H196" s="24">
        <v>46142.7637962963</v>
      </c>
      <c r="I196" s="24">
        <v>46151.74667824074</v>
      </c>
      <c r="J196" s="12" t="b">
        <v>1</v>
      </c>
      <c r="N196" s="12" t="s">
        <v>45</v>
      </c>
      <c r="O196" s="19">
        <v>24.4127259</v>
      </c>
      <c r="P196" s="19">
        <v>54.7428179</v>
      </c>
      <c r="Q196" s="20" t="s">
        <v>1095</v>
      </c>
    </row>
    <row r="197" ht="14.25" customHeight="1">
      <c r="A197" s="7" t="s">
        <v>1096</v>
      </c>
      <c r="B197" s="18" t="s">
        <v>1097</v>
      </c>
      <c r="C197" s="13" t="s">
        <v>1098</v>
      </c>
      <c r="D197" s="13" t="s">
        <v>1098</v>
      </c>
      <c r="E197" s="14" t="s">
        <v>1099</v>
      </c>
      <c r="F197" s="14" t="s">
        <v>1100</v>
      </c>
      <c r="G197" s="36" t="s">
        <v>1101</v>
      </c>
      <c r="H197" s="24">
        <v>46144.50981481482</v>
      </c>
      <c r="I197" s="24">
        <v>46155.94420138889</v>
      </c>
      <c r="J197" s="12" t="b">
        <v>1</v>
      </c>
      <c r="N197" s="12" t="s">
        <v>45</v>
      </c>
      <c r="O197" s="19">
        <v>24.450063396978898</v>
      </c>
      <c r="P197" s="19">
        <v>54.61462615166343</v>
      </c>
      <c r="Q197" s="20" t="s">
        <v>1101</v>
      </c>
    </row>
    <row r="198" ht="14.25" customHeight="1">
      <c r="A198" s="7" t="s">
        <v>1102</v>
      </c>
      <c r="B198" s="7" t="s">
        <v>1103</v>
      </c>
      <c r="C198" s="13" t="s">
        <v>1104</v>
      </c>
      <c r="D198" s="13" t="s">
        <v>1104</v>
      </c>
      <c r="E198" s="15" t="s">
        <v>1105</v>
      </c>
      <c r="F198" s="15" t="s">
        <v>1106</v>
      </c>
      <c r="G198" s="36" t="s">
        <v>1107</v>
      </c>
      <c r="H198" s="24">
        <v>46145.500451388885</v>
      </c>
      <c r="I198" s="24">
        <v>46145.5083912037</v>
      </c>
      <c r="J198" s="12" t="b">
        <v>1</v>
      </c>
      <c r="N198" s="12" t="s">
        <v>45</v>
      </c>
      <c r="O198" s="19">
        <v>24.4828856</v>
      </c>
      <c r="P198" s="19">
        <v>54.3733929</v>
      </c>
      <c r="Q198" s="20" t="s">
        <v>1107</v>
      </c>
    </row>
    <row r="199" ht="14.25" customHeight="1">
      <c r="A199" s="7" t="s">
        <v>1108</v>
      </c>
      <c r="B199" s="18" t="s">
        <v>1109</v>
      </c>
      <c r="C199" s="13" t="s">
        <v>1110</v>
      </c>
      <c r="D199" s="13" t="s">
        <v>1110</v>
      </c>
      <c r="E199" s="15" t="s">
        <v>181</v>
      </c>
      <c r="F199" s="15" t="s">
        <v>1111</v>
      </c>
      <c r="G199" s="36" t="s">
        <v>1112</v>
      </c>
      <c r="H199" s="24">
        <v>46146.09195601852</v>
      </c>
      <c r="I199" s="24">
        <v>46146.09253472222</v>
      </c>
      <c r="J199" s="12" t="b">
        <v>1</v>
      </c>
      <c r="N199" s="12" t="s">
        <v>45</v>
      </c>
      <c r="O199" s="19">
        <v>24.48833760309474</v>
      </c>
      <c r="P199" s="19">
        <v>54.36702741822011</v>
      </c>
      <c r="Q199" s="20" t="s">
        <v>1113</v>
      </c>
    </row>
    <row r="200" ht="14.25" customHeight="1">
      <c r="A200" s="7" t="s">
        <v>1114</v>
      </c>
      <c r="B200" s="18" t="s">
        <v>1115</v>
      </c>
      <c r="C200" s="13" t="s">
        <v>1116</v>
      </c>
      <c r="D200" s="13" t="s">
        <v>1116</v>
      </c>
      <c r="E200" s="15" t="s">
        <v>194</v>
      </c>
      <c r="F200" s="15" t="s">
        <v>1117</v>
      </c>
      <c r="G200" s="21" t="s">
        <v>1118</v>
      </c>
      <c r="H200" s="24">
        <v>46146.54121527778</v>
      </c>
      <c r="I200" s="24">
        <v>46151.70396990741</v>
      </c>
      <c r="J200" s="12" t="b">
        <v>1</v>
      </c>
      <c r="N200" s="12" t="s">
        <v>45</v>
      </c>
      <c r="O200" s="19">
        <v>24.51154807780287</v>
      </c>
      <c r="P200" s="19">
        <v>54.40622682406262</v>
      </c>
      <c r="Q200" s="20" t="s">
        <v>1118</v>
      </c>
    </row>
    <row r="201" ht="14.25" customHeight="1">
      <c r="A201" s="7" t="s">
        <v>1119</v>
      </c>
      <c r="B201" s="18" t="s">
        <v>1120</v>
      </c>
      <c r="C201" s="13" t="s">
        <v>1121</v>
      </c>
      <c r="D201" s="13" t="s">
        <v>1121</v>
      </c>
      <c r="E201" s="15" t="s">
        <v>1122</v>
      </c>
      <c r="F201" s="15" t="s">
        <v>1123</v>
      </c>
      <c r="G201" s="21" t="s">
        <v>1124</v>
      </c>
      <c r="H201" s="24">
        <v>46149.69914351852</v>
      </c>
      <c r="I201" s="24">
        <v>46149.69914351852</v>
      </c>
      <c r="J201" s="12" t="b">
        <v>1</v>
      </c>
      <c r="N201" s="12" t="s">
        <v>45</v>
      </c>
      <c r="O201" s="19">
        <v>24.504093170000004</v>
      </c>
      <c r="P201" s="19">
        <v>54.41565322000001</v>
      </c>
      <c r="Q201" s="20" t="s">
        <v>1124</v>
      </c>
    </row>
    <row r="202" ht="14.25" customHeight="1">
      <c r="A202" s="7" t="s">
        <v>1125</v>
      </c>
      <c r="B202" s="18" t="s">
        <v>1126</v>
      </c>
      <c r="C202" s="13" t="s">
        <v>1127</v>
      </c>
      <c r="D202" s="13" t="s">
        <v>1127</v>
      </c>
      <c r="E202" s="15" t="s">
        <v>42</v>
      </c>
      <c r="F202" s="15" t="s">
        <v>1128</v>
      </c>
      <c r="G202" s="36" t="s">
        <v>1129</v>
      </c>
      <c r="H202" s="24">
        <v>46149.974953703706</v>
      </c>
      <c r="I202" s="24">
        <v>46161.66868055556</v>
      </c>
      <c r="J202" s="12" t="b">
        <v>1</v>
      </c>
      <c r="N202" s="12" t="s">
        <v>45</v>
      </c>
      <c r="O202" s="19">
        <v>24.32160286901728</v>
      </c>
      <c r="P202" s="19">
        <v>54.62401405136186</v>
      </c>
      <c r="Q202" s="20" t="s">
        <v>1129</v>
      </c>
    </row>
    <row r="203" ht="14.25" customHeight="1">
      <c r="A203" s="7" t="s">
        <v>1130</v>
      </c>
      <c r="B203" s="7" t="s">
        <v>1131</v>
      </c>
      <c r="C203" s="13" t="s">
        <v>1132</v>
      </c>
      <c r="D203" s="13" t="s">
        <v>1132</v>
      </c>
      <c r="E203" s="15" t="s">
        <v>318</v>
      </c>
      <c r="F203" s="15" t="s">
        <v>1133</v>
      </c>
      <c r="G203" s="36" t="s">
        <v>1134</v>
      </c>
      <c r="H203" s="24">
        <v>46150.24072916667</v>
      </c>
      <c r="I203" s="24">
        <v>46151.68457175926</v>
      </c>
      <c r="J203" s="12" t="b">
        <v>1</v>
      </c>
      <c r="N203" s="12" t="s">
        <v>45</v>
      </c>
      <c r="O203" s="19">
        <v>24.406132267192973</v>
      </c>
      <c r="P203" s="19">
        <v>54.57922825754812</v>
      </c>
      <c r="Q203" s="20" t="s">
        <v>1134</v>
      </c>
    </row>
    <row r="204" ht="14.25" customHeight="1">
      <c r="A204" s="7" t="s">
        <v>1135</v>
      </c>
      <c r="B204" s="18" t="s">
        <v>1136</v>
      </c>
      <c r="C204" s="13" t="s">
        <v>1137</v>
      </c>
      <c r="D204" s="13" t="s">
        <v>1137</v>
      </c>
      <c r="E204" s="15" t="s">
        <v>217</v>
      </c>
      <c r="F204" s="15" t="s">
        <v>1138</v>
      </c>
      <c r="G204" s="21" t="s">
        <v>1139</v>
      </c>
      <c r="H204" s="24">
        <v>46150.47232638889</v>
      </c>
      <c r="I204" s="24">
        <v>46150.47232638889</v>
      </c>
      <c r="J204" s="12" t="b">
        <v>1</v>
      </c>
      <c r="N204" s="12" t="s">
        <v>45</v>
      </c>
      <c r="O204" s="19">
        <v>25.39364255621061</v>
      </c>
      <c r="P204" s="19">
        <v>55.45526693157126</v>
      </c>
      <c r="Q204" s="20" t="s">
        <v>1139</v>
      </c>
    </row>
    <row r="205" ht="14.25" customHeight="1">
      <c r="A205" s="7" t="s">
        <v>1140</v>
      </c>
      <c r="B205" s="18" t="s">
        <v>96</v>
      </c>
      <c r="C205" s="13" t="s">
        <v>1141</v>
      </c>
      <c r="D205" s="13" t="s">
        <v>1141</v>
      </c>
      <c r="E205" s="15" t="s">
        <v>98</v>
      </c>
      <c r="F205" s="15" t="s">
        <v>99</v>
      </c>
      <c r="G205" s="21" t="s">
        <v>1142</v>
      </c>
      <c r="H205" s="24">
        <v>46150.68576388889</v>
      </c>
      <c r="I205" s="24">
        <v>46161.837233796294</v>
      </c>
      <c r="J205" s="12" t="b">
        <v>1</v>
      </c>
      <c r="N205" s="12" t="s">
        <v>45</v>
      </c>
      <c r="O205" s="19">
        <v>24.4839877</v>
      </c>
      <c r="P205" s="19">
        <v>54.3736343</v>
      </c>
      <c r="Q205" s="20" t="s">
        <v>1142</v>
      </c>
    </row>
    <row r="206" ht="14.25" customHeight="1">
      <c r="A206" s="7" t="s">
        <v>1143</v>
      </c>
      <c r="B206" s="18" t="s">
        <v>1144</v>
      </c>
      <c r="C206" s="13" t="s">
        <v>1145</v>
      </c>
      <c r="D206" s="13" t="s">
        <v>1145</v>
      </c>
      <c r="E206" s="15" t="s">
        <v>300</v>
      </c>
      <c r="F206" s="15" t="s">
        <v>1146</v>
      </c>
      <c r="G206" s="36" t="s">
        <v>1147</v>
      </c>
      <c r="H206" s="24">
        <v>46150.915671296294</v>
      </c>
      <c r="I206" s="24">
        <v>46150.915671296294</v>
      </c>
      <c r="J206" s="12" t="b">
        <v>1</v>
      </c>
      <c r="N206" s="12" t="s">
        <v>45</v>
      </c>
      <c r="O206" s="19">
        <v>24.4617356</v>
      </c>
      <c r="P206" s="19">
        <v>54.3850919</v>
      </c>
      <c r="Q206" s="20" t="s">
        <v>1147</v>
      </c>
    </row>
    <row r="207" ht="14.25" customHeight="1">
      <c r="A207" s="7" t="s">
        <v>1148</v>
      </c>
      <c r="B207" s="7" t="s">
        <v>687</v>
      </c>
      <c r="C207" s="13" t="s">
        <v>1149</v>
      </c>
      <c r="D207" s="13" t="s">
        <v>1149</v>
      </c>
      <c r="E207" s="15" t="s">
        <v>181</v>
      </c>
      <c r="F207" s="15" t="s">
        <v>1150</v>
      </c>
      <c r="G207" s="37" t="s">
        <v>1151</v>
      </c>
      <c r="H207" s="24">
        <v>46150.92482638889</v>
      </c>
      <c r="I207" s="24">
        <v>46152.88994212963</v>
      </c>
      <c r="J207" s="12" t="b">
        <v>1</v>
      </c>
      <c r="N207" s="12" t="s">
        <v>45</v>
      </c>
      <c r="O207" s="19">
        <v>24.4754124</v>
      </c>
      <c r="P207" s="19">
        <v>54.3880134</v>
      </c>
      <c r="Q207" s="20" t="s">
        <v>1151</v>
      </c>
    </row>
    <row r="208" ht="14.25" customHeight="1">
      <c r="A208" s="7" t="s">
        <v>1152</v>
      </c>
      <c r="B208" s="7" t="s">
        <v>1153</v>
      </c>
      <c r="C208" s="13" t="s">
        <v>1154</v>
      </c>
      <c r="D208" s="13" t="s">
        <v>1154</v>
      </c>
      <c r="E208" s="14" t="s">
        <v>1155</v>
      </c>
      <c r="F208" s="14" t="s">
        <v>1156</v>
      </c>
      <c r="G208" s="20" t="s">
        <v>1157</v>
      </c>
      <c r="H208" s="24">
        <v>46151.603310185186</v>
      </c>
      <c r="I208" s="24">
        <v>46151.60469907407</v>
      </c>
      <c r="J208" s="12" t="b">
        <v>1</v>
      </c>
      <c r="N208" s="12" t="s">
        <v>45</v>
      </c>
      <c r="O208" s="19">
        <v>24.55635500795252</v>
      </c>
      <c r="P208" s="19">
        <v>54.64145421981814</v>
      </c>
      <c r="Q208" s="20" t="s">
        <v>1157</v>
      </c>
    </row>
    <row r="209" ht="14.25" customHeight="1">
      <c r="A209" s="7" t="s">
        <v>1158</v>
      </c>
      <c r="B209" s="7" t="s">
        <v>1159</v>
      </c>
      <c r="C209" s="13" t="s">
        <v>1160</v>
      </c>
      <c r="D209" s="13" t="s">
        <v>1160</v>
      </c>
      <c r="E209" s="15" t="s">
        <v>1161</v>
      </c>
      <c r="F209" s="14" t="s">
        <v>1162</v>
      </c>
      <c r="G209" s="20" t="s">
        <v>1163</v>
      </c>
      <c r="H209" s="24">
        <v>46151.610972222225</v>
      </c>
      <c r="I209" s="24">
        <v>46151.61133101852</v>
      </c>
      <c r="J209" s="12" t="b">
        <v>1</v>
      </c>
      <c r="N209" s="12" t="s">
        <v>45</v>
      </c>
      <c r="O209" s="19">
        <v>24.4832300682437</v>
      </c>
      <c r="P209" s="19">
        <v>54.37693478812294</v>
      </c>
      <c r="Q209" s="20" t="s">
        <v>1163</v>
      </c>
    </row>
    <row r="210" ht="14.25" customHeight="1">
      <c r="A210" s="7" t="s">
        <v>1164</v>
      </c>
      <c r="B210" s="18" t="s">
        <v>1165</v>
      </c>
      <c r="C210" s="13" t="s">
        <v>1166</v>
      </c>
      <c r="D210" s="13" t="s">
        <v>1166</v>
      </c>
      <c r="E210" s="15" t="s">
        <v>163</v>
      </c>
      <c r="F210" s="15" t="s">
        <v>1167</v>
      </c>
      <c r="G210" s="20" t="s">
        <v>1168</v>
      </c>
      <c r="H210" s="24">
        <v>46151.63190972222</v>
      </c>
      <c r="I210" s="24">
        <v>46151.63251157408</v>
      </c>
      <c r="J210" s="12" t="b">
        <v>1</v>
      </c>
      <c r="N210" s="12" t="s">
        <v>45</v>
      </c>
      <c r="O210" s="19">
        <v>24.4578963</v>
      </c>
      <c r="P210" s="19">
        <v>54.3588332</v>
      </c>
      <c r="Q210" s="20" t="s">
        <v>1168</v>
      </c>
    </row>
    <row r="211" ht="14.25" customHeight="1">
      <c r="A211" s="7" t="s">
        <v>1169</v>
      </c>
      <c r="B211" s="7" t="s">
        <v>1170</v>
      </c>
      <c r="C211" s="13" t="s">
        <v>1171</v>
      </c>
      <c r="D211" s="13" t="s">
        <v>1171</v>
      </c>
      <c r="E211" s="15" t="s">
        <v>497</v>
      </c>
      <c r="F211" s="15" t="s">
        <v>1172</v>
      </c>
      <c r="G211" s="20" t="s">
        <v>1173</v>
      </c>
      <c r="H211" s="24">
        <v>46151.63211805555</v>
      </c>
      <c r="I211" s="24">
        <v>46161.67548611111</v>
      </c>
      <c r="J211" s="12" t="b">
        <v>1</v>
      </c>
      <c r="N211" s="12" t="s">
        <v>45</v>
      </c>
      <c r="O211" s="19">
        <v>24.405996821373577</v>
      </c>
      <c r="P211" s="19">
        <v>54.517312166606</v>
      </c>
      <c r="Q211" s="20" t="s">
        <v>1173</v>
      </c>
    </row>
    <row r="212" ht="14.25" customHeight="1">
      <c r="A212" s="7" t="s">
        <v>1174</v>
      </c>
      <c r="B212" s="18" t="s">
        <v>355</v>
      </c>
      <c r="C212" s="13" t="s">
        <v>1175</v>
      </c>
      <c r="D212" s="13" t="s">
        <v>1175</v>
      </c>
      <c r="E212" s="15" t="s">
        <v>300</v>
      </c>
      <c r="F212" s="15" t="s">
        <v>1176</v>
      </c>
      <c r="G212" s="20" t="s">
        <v>1177</v>
      </c>
      <c r="H212" s="24">
        <v>46151.64065972222</v>
      </c>
      <c r="I212" s="24">
        <v>46151.642476851855</v>
      </c>
      <c r="J212" s="12" t="b">
        <v>1</v>
      </c>
      <c r="N212" s="12" t="s">
        <v>45</v>
      </c>
      <c r="O212" s="19">
        <v>24.467564530656038</v>
      </c>
      <c r="P212" s="19">
        <v>54.37450985494158</v>
      </c>
      <c r="Q212" s="20" t="s">
        <v>1177</v>
      </c>
    </row>
    <row r="213" ht="14.25" customHeight="1">
      <c r="A213" s="7" t="s">
        <v>1178</v>
      </c>
      <c r="B213" s="18" t="s">
        <v>1179</v>
      </c>
      <c r="C213" s="13" t="s">
        <v>1180</v>
      </c>
      <c r="D213" s="13" t="s">
        <v>1180</v>
      </c>
      <c r="E213" s="15" t="s">
        <v>1105</v>
      </c>
      <c r="F213" s="15" t="s">
        <v>1181</v>
      </c>
      <c r="G213" s="20" t="s">
        <v>1182</v>
      </c>
      <c r="H213" s="24">
        <v>46151.679398148146</v>
      </c>
      <c r="I213" s="24">
        <v>46151.68064814815</v>
      </c>
      <c r="J213" s="12" t="b">
        <v>1</v>
      </c>
      <c r="N213" s="12" t="s">
        <v>45</v>
      </c>
      <c r="O213" s="19">
        <v>24.4908791</v>
      </c>
      <c r="P213" s="19">
        <v>54.3581597</v>
      </c>
      <c r="Q213" s="20" t="s">
        <v>1182</v>
      </c>
    </row>
    <row r="214" ht="14.25" customHeight="1">
      <c r="A214" s="7" t="s">
        <v>1183</v>
      </c>
      <c r="B214" s="18" t="s">
        <v>1184</v>
      </c>
      <c r="C214" s="13" t="s">
        <v>1185</v>
      </c>
      <c r="D214" s="13" t="s">
        <v>1185</v>
      </c>
      <c r="E214" s="15" t="s">
        <v>300</v>
      </c>
      <c r="F214" s="15" t="s">
        <v>1186</v>
      </c>
      <c r="G214" s="20" t="s">
        <v>1187</v>
      </c>
      <c r="H214" s="24">
        <v>46151.72016203704</v>
      </c>
      <c r="I214" s="24">
        <v>46151.758993055555</v>
      </c>
      <c r="J214" s="12" t="b">
        <v>1</v>
      </c>
      <c r="N214" s="12" t="s">
        <v>45</v>
      </c>
      <c r="O214" s="19">
        <v>24.470613</v>
      </c>
      <c r="P214" s="19">
        <v>54.3799986</v>
      </c>
      <c r="Q214" s="20" t="s">
        <v>1187</v>
      </c>
    </row>
    <row r="215" ht="14.25" customHeight="1">
      <c r="A215" s="7" t="s">
        <v>1188</v>
      </c>
      <c r="B215" s="18" t="s">
        <v>1189</v>
      </c>
      <c r="C215" s="13" t="s">
        <v>1190</v>
      </c>
      <c r="D215" s="13" t="s">
        <v>1190</v>
      </c>
      <c r="E215" s="15" t="s">
        <v>369</v>
      </c>
      <c r="F215" s="15" t="s">
        <v>1191</v>
      </c>
      <c r="G215" s="20" t="s">
        <v>1192</v>
      </c>
      <c r="H215" s="24">
        <v>46151.73204861111</v>
      </c>
      <c r="I215" s="24">
        <v>46151.73299768518</v>
      </c>
      <c r="J215" s="12" t="b">
        <v>1</v>
      </c>
      <c r="N215" s="12" t="s">
        <v>45</v>
      </c>
      <c r="O215" s="19">
        <v>24.4747951</v>
      </c>
      <c r="P215" s="19">
        <v>54.3521905</v>
      </c>
      <c r="Q215" s="20" t="s">
        <v>1192</v>
      </c>
    </row>
    <row r="216" ht="14.25" customHeight="1">
      <c r="A216" s="7" t="s">
        <v>1193</v>
      </c>
      <c r="B216" s="18" t="s">
        <v>1194</v>
      </c>
      <c r="C216" s="13" t="s">
        <v>1195</v>
      </c>
      <c r="D216" s="13" t="s">
        <v>1195</v>
      </c>
      <c r="E216" s="15" t="s">
        <v>369</v>
      </c>
      <c r="F216" s="15" t="s">
        <v>1196</v>
      </c>
      <c r="G216" s="20" t="s">
        <v>1197</v>
      </c>
      <c r="H216" s="24">
        <v>46154.54076388889</v>
      </c>
      <c r="I216" s="24">
        <v>46154.54076388889</v>
      </c>
      <c r="J216" s="12" t="b">
        <v>1</v>
      </c>
      <c r="N216" s="12" t="s">
        <v>45</v>
      </c>
      <c r="O216" s="19">
        <v>24.478335711277328</v>
      </c>
      <c r="P216" s="19">
        <v>54.35318775443497</v>
      </c>
      <c r="Q216" s="20" t="s">
        <v>1197</v>
      </c>
    </row>
    <row r="217" ht="14.25" customHeight="1">
      <c r="A217" s="7" t="s">
        <v>1198</v>
      </c>
      <c r="B217" s="18" t="s">
        <v>1199</v>
      </c>
      <c r="C217" s="13" t="s">
        <v>1200</v>
      </c>
      <c r="D217" s="13" t="s">
        <v>1200</v>
      </c>
      <c r="E217" s="15" t="s">
        <v>1201</v>
      </c>
      <c r="F217" s="15" t="s">
        <v>1202</v>
      </c>
      <c r="G217" s="20" t="s">
        <v>1203</v>
      </c>
      <c r="H217" s="24">
        <v>46154.95953703704</v>
      </c>
      <c r="I217" s="24">
        <v>46154.95953703704</v>
      </c>
      <c r="J217" s="12" t="b">
        <v>1</v>
      </c>
      <c r="N217" s="12" t="s">
        <v>45</v>
      </c>
      <c r="O217" s="19">
        <v>24.43210526175639</v>
      </c>
      <c r="P217" s="19">
        <v>54.43378157824769</v>
      </c>
      <c r="Q217" s="20" t="s">
        <v>1203</v>
      </c>
    </row>
    <row r="218" ht="14.25" customHeight="1">
      <c r="A218" s="7" t="s">
        <v>1204</v>
      </c>
      <c r="B218" s="7" t="s">
        <v>1205</v>
      </c>
      <c r="C218" s="13" t="s">
        <v>1206</v>
      </c>
      <c r="D218" s="13" t="s">
        <v>1207</v>
      </c>
      <c r="E218" s="15" t="s">
        <v>1122</v>
      </c>
      <c r="F218" s="14" t="s">
        <v>1208</v>
      </c>
      <c r="G218" s="20" t="s">
        <v>1209</v>
      </c>
      <c r="H218" s="24">
        <v>46154.96423611111</v>
      </c>
      <c r="I218" s="24">
        <v>46155.9815625</v>
      </c>
      <c r="J218" s="12" t="b">
        <v>1</v>
      </c>
      <c r="N218" s="12" t="s">
        <v>45</v>
      </c>
      <c r="O218" s="19">
        <v>24.498371</v>
      </c>
      <c r="P218" s="19">
        <v>54.4051157</v>
      </c>
      <c r="Q218" s="20" t="s">
        <v>1209</v>
      </c>
    </row>
    <row r="219" ht="14.25" customHeight="1">
      <c r="A219" s="7" t="s">
        <v>1210</v>
      </c>
      <c r="B219" s="18" t="s">
        <v>1211</v>
      </c>
      <c r="C219" s="13" t="s">
        <v>1212</v>
      </c>
      <c r="D219" s="13" t="s">
        <v>1212</v>
      </c>
      <c r="E219" s="15" t="s">
        <v>68</v>
      </c>
      <c r="F219" s="15" t="s">
        <v>1213</v>
      </c>
      <c r="G219" s="20" t="s">
        <v>1214</v>
      </c>
      <c r="H219" s="24">
        <v>46157.47755787037</v>
      </c>
      <c r="I219" s="24">
        <v>46160.764375</v>
      </c>
      <c r="J219" s="12" t="b">
        <v>1</v>
      </c>
      <c r="N219" s="12" t="s">
        <v>45</v>
      </c>
      <c r="O219" s="19">
        <v>24.4883665432991</v>
      </c>
      <c r="P219" s="19">
        <v>54.36692658190457</v>
      </c>
      <c r="Q219" s="20" t="s">
        <v>1215</v>
      </c>
    </row>
    <row r="220" ht="14.25" customHeight="1">
      <c r="A220" s="7" t="s">
        <v>1216</v>
      </c>
      <c r="B220" s="7" t="s">
        <v>1217</v>
      </c>
      <c r="C220" s="13" t="s">
        <v>1218</v>
      </c>
      <c r="D220" s="13" t="s">
        <v>1218</v>
      </c>
      <c r="E220" s="15" t="s">
        <v>1219</v>
      </c>
      <c r="F220" s="15" t="s">
        <v>1220</v>
      </c>
      <c r="G220" s="20" t="s">
        <v>1221</v>
      </c>
      <c r="H220" s="24">
        <v>46157.719988425924</v>
      </c>
      <c r="I220" s="24">
        <v>46157.72008101852</v>
      </c>
      <c r="J220" s="12" t="b">
        <v>1</v>
      </c>
      <c r="N220" s="12" t="s">
        <v>45</v>
      </c>
      <c r="O220" s="19">
        <v>24.384909003215572</v>
      </c>
      <c r="P220" s="19">
        <v>54.65625488128288</v>
      </c>
      <c r="Q220" s="20" t="s">
        <v>1221</v>
      </c>
    </row>
    <row r="221" ht="14.25" customHeight="1">
      <c r="A221" s="7" t="s">
        <v>1222</v>
      </c>
      <c r="B221" s="7" t="s">
        <v>1223</v>
      </c>
      <c r="C221" s="13" t="s">
        <v>1224</v>
      </c>
      <c r="D221" s="13" t="s">
        <v>1224</v>
      </c>
      <c r="E221" s="15" t="s">
        <v>369</v>
      </c>
      <c r="F221" s="15" t="s">
        <v>1225</v>
      </c>
      <c r="G221" s="20" t="s">
        <v>1226</v>
      </c>
      <c r="H221" s="24">
        <v>46159.78679398148</v>
      </c>
      <c r="I221" s="24">
        <v>46159.83525462963</v>
      </c>
      <c r="J221" s="12" t="b">
        <v>1</v>
      </c>
      <c r="N221" s="12" t="s">
        <v>45</v>
      </c>
      <c r="O221" s="19">
        <v>24.488334630270465</v>
      </c>
      <c r="P221" s="19">
        <v>54.36703448307686</v>
      </c>
      <c r="Q221" s="20" t="s">
        <v>1227</v>
      </c>
    </row>
    <row r="222" ht="14.25" customHeight="1">
      <c r="A222" s="7" t="s">
        <v>1228</v>
      </c>
      <c r="B222" s="18" t="s">
        <v>1229</v>
      </c>
      <c r="C222" s="13" t="s">
        <v>1230</v>
      </c>
      <c r="D222" s="13" t="s">
        <v>1230</v>
      </c>
      <c r="E222" s="15" t="s">
        <v>289</v>
      </c>
      <c r="F222" s="14" t="s">
        <v>1231</v>
      </c>
      <c r="G222" s="20" t="s">
        <v>1232</v>
      </c>
      <c r="H222" s="24">
        <v>46160.501851851855</v>
      </c>
      <c r="I222" s="24">
        <v>46160.504016203704</v>
      </c>
      <c r="J222" s="12" t="b">
        <v>1</v>
      </c>
      <c r="N222" s="12" t="s">
        <v>45</v>
      </c>
      <c r="O222" s="19">
        <v>24.48833465409858</v>
      </c>
      <c r="P222" s="19">
        <v>54.367034255556845</v>
      </c>
      <c r="Q222" s="20" t="s">
        <v>1233</v>
      </c>
    </row>
    <row r="223" ht="14.25" customHeight="1">
      <c r="A223" s="7" t="s">
        <v>1234</v>
      </c>
      <c r="B223" s="7" t="s">
        <v>1235</v>
      </c>
      <c r="C223" s="13" t="s">
        <v>1236</v>
      </c>
      <c r="D223" s="13" t="s">
        <v>1236</v>
      </c>
      <c r="E223" s="14" t="s">
        <v>1237</v>
      </c>
      <c r="F223" s="14" t="s">
        <v>1238</v>
      </c>
      <c r="G223" s="20" t="s">
        <v>1239</v>
      </c>
      <c r="H223" s="24">
        <v>46160.675092592595</v>
      </c>
      <c r="I223" s="24">
        <v>46160.6759375</v>
      </c>
      <c r="J223" s="12" t="b">
        <v>1</v>
      </c>
      <c r="N223" s="12" t="s">
        <v>45</v>
      </c>
      <c r="O223" s="19">
        <v>24.476023</v>
      </c>
      <c r="P223" s="19">
        <v>54.3513486</v>
      </c>
      <c r="Q223" s="20" t="s">
        <v>1239</v>
      </c>
    </row>
    <row r="224" ht="14.25" customHeight="1">
      <c r="A224" s="7" t="s">
        <v>1240</v>
      </c>
      <c r="B224" s="18" t="s">
        <v>1241</v>
      </c>
      <c r="C224" s="13" t="s">
        <v>1242</v>
      </c>
      <c r="D224" s="13" t="s">
        <v>1242</v>
      </c>
      <c r="E224" s="15" t="s">
        <v>1243</v>
      </c>
      <c r="F224" s="15" t="s">
        <v>1244</v>
      </c>
      <c r="G224" s="20" t="s">
        <v>1245</v>
      </c>
      <c r="H224" s="24">
        <v>46160.73866898148</v>
      </c>
      <c r="I224" s="24">
        <v>46161.71517361111</v>
      </c>
      <c r="J224" s="12" t="b">
        <v>1</v>
      </c>
      <c r="N224" s="12" t="s">
        <v>45</v>
      </c>
      <c r="O224" s="19">
        <v>24.29671221735467</v>
      </c>
      <c r="P224" s="19">
        <v>54.63328993941091</v>
      </c>
      <c r="Q224" s="20" t="s">
        <v>1245</v>
      </c>
    </row>
    <row r="225" ht="14.25" customHeight="1">
      <c r="A225" s="7" t="s">
        <v>1246</v>
      </c>
      <c r="B225" s="18" t="s">
        <v>1247</v>
      </c>
      <c r="C225" s="13" t="s">
        <v>1248</v>
      </c>
      <c r="D225" s="13" t="s">
        <v>1248</v>
      </c>
      <c r="E225" s="15" t="s">
        <v>42</v>
      </c>
      <c r="F225" s="15" t="s">
        <v>1249</v>
      </c>
      <c r="G225" s="20" t="s">
        <v>1250</v>
      </c>
      <c r="H225" s="24">
        <v>46160.75528935185</v>
      </c>
      <c r="I225" s="24">
        <v>46160.75601851852</v>
      </c>
      <c r="J225" s="12" t="b">
        <v>1</v>
      </c>
      <c r="N225" s="12" t="s">
        <v>45</v>
      </c>
      <c r="O225" s="19">
        <v>24.489289</v>
      </c>
      <c r="P225" s="19">
        <v>54.36743</v>
      </c>
      <c r="Q225" s="20" t="s">
        <v>1251</v>
      </c>
    </row>
    <row r="226" ht="14.25" customHeight="1">
      <c r="A226" s="7" t="s">
        <v>1252</v>
      </c>
      <c r="B226" s="18" t="s">
        <v>1253</v>
      </c>
      <c r="C226" s="13" t="s">
        <v>1254</v>
      </c>
      <c r="D226" s="13" t="s">
        <v>1254</v>
      </c>
      <c r="E226" s="15" t="s">
        <v>1255</v>
      </c>
      <c r="F226" s="15" t="s">
        <v>1256</v>
      </c>
      <c r="G226" s="20" t="s">
        <v>1257</v>
      </c>
      <c r="H226" s="24">
        <v>46160.77726851852</v>
      </c>
      <c r="I226" s="24">
        <v>46160.79634259259</v>
      </c>
      <c r="J226" s="12" t="b">
        <v>1</v>
      </c>
      <c r="N226" s="12" t="s">
        <v>45</v>
      </c>
      <c r="O226" s="19">
        <v>24.43990843442449</v>
      </c>
      <c r="P226" s="19">
        <v>54.727856367714615</v>
      </c>
      <c r="Q226" s="20" t="s">
        <v>1257</v>
      </c>
    </row>
    <row r="227" ht="14.25" customHeight="1">
      <c r="A227" s="7" t="s">
        <v>1258</v>
      </c>
      <c r="B227" s="18" t="s">
        <v>1259</v>
      </c>
      <c r="C227" s="13" t="s">
        <v>1260</v>
      </c>
      <c r="D227" s="13" t="s">
        <v>1260</v>
      </c>
      <c r="E227" s="15" t="s">
        <v>1261</v>
      </c>
      <c r="F227" s="15" t="s">
        <v>1262</v>
      </c>
      <c r="G227" s="20" t="s">
        <v>1263</v>
      </c>
      <c r="H227" s="24">
        <v>46160.98365740741</v>
      </c>
      <c r="I227" s="24">
        <v>46160.98679398148</v>
      </c>
      <c r="J227" s="12" t="b">
        <v>1</v>
      </c>
      <c r="N227" s="12" t="s">
        <v>45</v>
      </c>
      <c r="O227" s="19">
        <v>24.8762807226535</v>
      </c>
      <c r="P227" s="19">
        <v>55.049557438993006</v>
      </c>
      <c r="Q227" s="20" t="s">
        <v>1263</v>
      </c>
    </row>
    <row r="228" ht="14.25" customHeight="1">
      <c r="A228" s="7" t="s">
        <v>1264</v>
      </c>
      <c r="B228" s="18" t="s">
        <v>1265</v>
      </c>
      <c r="C228" s="13" t="s">
        <v>1266</v>
      </c>
      <c r="D228" s="13" t="s">
        <v>1266</v>
      </c>
      <c r="E228" s="15" t="s">
        <v>1267</v>
      </c>
      <c r="F228" s="15" t="s">
        <v>1268</v>
      </c>
      <c r="G228" s="20" t="s">
        <v>1269</v>
      </c>
      <c r="H228" s="24">
        <v>46161.017546296294</v>
      </c>
      <c r="I228" s="24">
        <v>46161.017546296294</v>
      </c>
      <c r="J228" s="12" t="b">
        <v>1</v>
      </c>
      <c r="N228" s="12" t="s">
        <v>45</v>
      </c>
      <c r="O228" s="19">
        <v>24.2967528</v>
      </c>
      <c r="P228" s="19">
        <v>54.6330295</v>
      </c>
      <c r="Q228" s="20" t="s">
        <v>1269</v>
      </c>
    </row>
    <row r="229" ht="14.25" customHeight="1">
      <c r="A229" s="7" t="s">
        <v>1270</v>
      </c>
      <c r="B229" s="7" t="s">
        <v>1271</v>
      </c>
      <c r="C229" s="13" t="s">
        <v>1272</v>
      </c>
      <c r="D229" s="13" t="s">
        <v>1272</v>
      </c>
      <c r="E229" s="15" t="s">
        <v>194</v>
      </c>
      <c r="F229" s="14" t="s">
        <v>1273</v>
      </c>
      <c r="G229" s="20" t="s">
        <v>1274</v>
      </c>
      <c r="H229" s="24">
        <v>46161.55069444444</v>
      </c>
      <c r="I229" s="24">
        <v>46161.86678240741</v>
      </c>
      <c r="J229" s="12" t="b">
        <v>1</v>
      </c>
      <c r="N229" s="12" t="s">
        <v>45</v>
      </c>
      <c r="O229" s="19">
        <v>24.488332107873276</v>
      </c>
      <c r="P229" s="19">
        <v>54.36703648153299</v>
      </c>
      <c r="Q229" s="20" t="s">
        <v>1275</v>
      </c>
    </row>
    <row r="230" ht="14.25" customHeight="1">
      <c r="A230" s="7" t="s">
        <v>1276</v>
      </c>
      <c r="B230" s="18" t="s">
        <v>1277</v>
      </c>
      <c r="C230" s="13" t="s">
        <v>1278</v>
      </c>
      <c r="D230" s="13" t="s">
        <v>1278</v>
      </c>
      <c r="E230" s="15" t="s">
        <v>1279</v>
      </c>
      <c r="F230" s="15" t="s">
        <v>1280</v>
      </c>
      <c r="G230" s="20" t="s">
        <v>1281</v>
      </c>
      <c r="H230" s="24">
        <v>46161.66217592593</v>
      </c>
      <c r="I230" s="24">
        <v>46161.66407407408</v>
      </c>
      <c r="J230" s="12" t="b">
        <v>1</v>
      </c>
      <c r="N230" s="12" t="s">
        <v>45</v>
      </c>
      <c r="O230" s="19">
        <v>24.333568155473717</v>
      </c>
      <c r="P230" s="19">
        <v>54.71084769152754</v>
      </c>
      <c r="Q230" s="20" t="s">
        <v>1281</v>
      </c>
    </row>
    <row r="231" ht="14.25" customHeight="1">
      <c r="A231" s="27"/>
      <c r="B231" s="27"/>
      <c r="C231" s="9"/>
      <c r="D231" s="9"/>
      <c r="E231" s="38"/>
      <c r="F231" s="38"/>
    </row>
    <row r="232" ht="14.25" customHeight="1">
      <c r="A232" s="27"/>
      <c r="B232" s="27"/>
      <c r="C232" s="9"/>
      <c r="D232" s="9"/>
      <c r="E232" s="38"/>
      <c r="F232" s="38"/>
    </row>
    <row r="233" ht="14.25" customHeight="1">
      <c r="A233" s="27"/>
      <c r="B233" s="27"/>
      <c r="C233" s="9"/>
      <c r="D233" s="9"/>
      <c r="E233" s="38"/>
      <c r="F233" s="38"/>
    </row>
    <row r="234" ht="14.25" customHeight="1">
      <c r="A234" s="27"/>
      <c r="B234" s="27"/>
      <c r="C234" s="9"/>
      <c r="D234" s="9"/>
      <c r="E234" s="38"/>
      <c r="F234" s="38"/>
    </row>
    <row r="235" ht="14.25" customHeight="1">
      <c r="A235" s="27"/>
      <c r="B235" s="27"/>
      <c r="C235" s="9"/>
      <c r="D235" s="9"/>
      <c r="E235" s="38"/>
      <c r="F235" s="38"/>
    </row>
    <row r="236" ht="14.25" customHeight="1">
      <c r="A236" s="27"/>
      <c r="B236" s="27"/>
      <c r="C236" s="9"/>
      <c r="D236" s="9"/>
      <c r="E236" s="38"/>
      <c r="F236" s="38"/>
    </row>
    <row r="237" ht="14.25" customHeight="1">
      <c r="A237" s="27"/>
      <c r="B237" s="27"/>
      <c r="C237" s="9"/>
      <c r="D237" s="9"/>
      <c r="E237" s="38"/>
      <c r="F237" s="38"/>
    </row>
    <row r="238" ht="14.25" customHeight="1">
      <c r="A238" s="27"/>
      <c r="B238" s="27"/>
      <c r="C238" s="9"/>
      <c r="D238" s="9"/>
      <c r="E238" s="38"/>
      <c r="F238" s="38"/>
    </row>
    <row r="239" ht="14.25" customHeight="1">
      <c r="A239" s="27"/>
      <c r="B239" s="27"/>
      <c r="C239" s="9"/>
      <c r="D239" s="9"/>
      <c r="E239" s="38"/>
      <c r="F239" s="38"/>
    </row>
    <row r="240" ht="14.25" customHeight="1">
      <c r="A240" s="27"/>
      <c r="B240" s="27"/>
      <c r="C240" s="9"/>
      <c r="D240" s="9"/>
      <c r="E240" s="38"/>
      <c r="F240" s="38"/>
    </row>
    <row r="241" ht="14.25" customHeight="1">
      <c r="A241" s="27"/>
      <c r="B241" s="27"/>
      <c r="C241" s="9"/>
      <c r="D241" s="9"/>
      <c r="E241" s="38"/>
      <c r="F241" s="38"/>
    </row>
    <row r="242" ht="14.25" customHeight="1">
      <c r="A242" s="27"/>
      <c r="B242" s="27"/>
      <c r="C242" s="9"/>
      <c r="D242" s="9"/>
      <c r="E242" s="38"/>
      <c r="F242" s="38"/>
    </row>
    <row r="243" ht="14.25" customHeight="1">
      <c r="A243" s="27"/>
      <c r="B243" s="27"/>
      <c r="C243" s="9"/>
      <c r="D243" s="9"/>
      <c r="E243" s="38"/>
      <c r="F243" s="38"/>
    </row>
    <row r="244" ht="14.25" customHeight="1">
      <c r="A244" s="27"/>
      <c r="B244" s="27"/>
      <c r="C244" s="9"/>
      <c r="D244" s="9"/>
      <c r="E244" s="38"/>
      <c r="F244" s="38"/>
    </row>
    <row r="245" ht="14.25" customHeight="1">
      <c r="A245" s="27"/>
      <c r="B245" s="27"/>
      <c r="C245" s="9"/>
      <c r="D245" s="9"/>
      <c r="E245" s="38"/>
      <c r="F245" s="38"/>
    </row>
    <row r="246" ht="14.25" customHeight="1">
      <c r="A246" s="27"/>
      <c r="B246" s="27"/>
      <c r="C246" s="9"/>
      <c r="D246" s="9"/>
      <c r="E246" s="38"/>
      <c r="F246" s="38"/>
    </row>
    <row r="247" ht="14.25" customHeight="1">
      <c r="A247" s="27"/>
      <c r="B247" s="27"/>
      <c r="C247" s="9"/>
      <c r="D247" s="9"/>
      <c r="E247" s="38"/>
      <c r="F247" s="38"/>
    </row>
    <row r="248" ht="14.25" customHeight="1">
      <c r="A248" s="27"/>
      <c r="B248" s="27"/>
      <c r="C248" s="9"/>
      <c r="D248" s="9"/>
      <c r="E248" s="38"/>
      <c r="F248" s="38"/>
    </row>
    <row r="249" ht="14.25" customHeight="1">
      <c r="A249" s="27"/>
      <c r="B249" s="27"/>
      <c r="C249" s="9"/>
      <c r="D249" s="9"/>
      <c r="E249" s="38"/>
      <c r="F249" s="38"/>
    </row>
    <row r="250" ht="14.25" customHeight="1">
      <c r="A250" s="27"/>
      <c r="B250" s="27"/>
      <c r="C250" s="9"/>
      <c r="D250" s="9"/>
      <c r="E250" s="38"/>
      <c r="F250" s="38"/>
    </row>
    <row r="251" ht="14.25" customHeight="1">
      <c r="A251" s="27"/>
      <c r="B251" s="27"/>
      <c r="C251" s="9"/>
      <c r="D251" s="9"/>
      <c r="E251" s="38"/>
      <c r="F251" s="38"/>
    </row>
    <row r="252" ht="14.25" customHeight="1">
      <c r="A252" s="27"/>
      <c r="B252" s="27"/>
      <c r="C252" s="9"/>
      <c r="D252" s="9"/>
      <c r="E252" s="38"/>
      <c r="F252" s="38"/>
    </row>
    <row r="253" ht="14.25" customHeight="1">
      <c r="A253" s="27"/>
      <c r="B253" s="27"/>
      <c r="C253" s="9"/>
      <c r="D253" s="9"/>
      <c r="E253" s="38"/>
      <c r="F253" s="38"/>
    </row>
    <row r="254" ht="14.25" customHeight="1">
      <c r="A254" s="27"/>
      <c r="B254" s="27"/>
      <c r="C254" s="9"/>
      <c r="D254" s="9"/>
      <c r="E254" s="38"/>
      <c r="F254" s="38"/>
    </row>
    <row r="255" ht="14.25" customHeight="1">
      <c r="A255" s="27"/>
      <c r="B255" s="27"/>
      <c r="C255" s="9"/>
      <c r="D255" s="9"/>
      <c r="E255" s="38"/>
      <c r="F255" s="38"/>
    </row>
    <row r="256" ht="14.25" customHeight="1">
      <c r="A256" s="27"/>
      <c r="B256" s="27"/>
      <c r="C256" s="9"/>
      <c r="D256" s="9"/>
      <c r="E256" s="38"/>
      <c r="F256" s="38"/>
    </row>
    <row r="257" ht="14.25" customHeight="1">
      <c r="A257" s="27"/>
      <c r="B257" s="27"/>
      <c r="C257" s="9"/>
      <c r="D257" s="9"/>
      <c r="E257" s="38"/>
      <c r="F257" s="38"/>
    </row>
    <row r="258" ht="14.25" customHeight="1">
      <c r="A258" s="27"/>
      <c r="B258" s="27"/>
      <c r="C258" s="9"/>
      <c r="D258" s="9"/>
      <c r="E258" s="38"/>
      <c r="F258" s="38"/>
    </row>
    <row r="259" ht="14.25" customHeight="1">
      <c r="A259" s="27"/>
      <c r="B259" s="27"/>
      <c r="C259" s="9"/>
      <c r="D259" s="9"/>
      <c r="E259" s="38"/>
      <c r="F259" s="38"/>
    </row>
    <row r="260" ht="14.25" customHeight="1">
      <c r="A260" s="27"/>
      <c r="B260" s="27"/>
      <c r="C260" s="9"/>
      <c r="D260" s="9"/>
      <c r="E260" s="38"/>
      <c r="F260" s="38"/>
    </row>
    <row r="261" ht="14.25" customHeight="1">
      <c r="A261" s="27"/>
      <c r="B261" s="27"/>
      <c r="C261" s="9"/>
      <c r="D261" s="9"/>
      <c r="E261" s="38"/>
      <c r="F261" s="38"/>
    </row>
    <row r="262" ht="14.25" customHeight="1">
      <c r="A262" s="27"/>
      <c r="B262" s="27"/>
      <c r="C262" s="9"/>
      <c r="D262" s="9"/>
      <c r="E262" s="38"/>
      <c r="F262" s="38"/>
    </row>
    <row r="263" ht="14.25" customHeight="1">
      <c r="A263" s="27"/>
      <c r="B263" s="27"/>
      <c r="C263" s="9"/>
      <c r="D263" s="9"/>
      <c r="E263" s="38"/>
      <c r="F263" s="38"/>
    </row>
    <row r="264" ht="14.25" customHeight="1">
      <c r="A264" s="27"/>
      <c r="B264" s="27"/>
      <c r="C264" s="9"/>
      <c r="D264" s="9"/>
      <c r="E264" s="38"/>
      <c r="F264" s="38"/>
    </row>
    <row r="265" ht="14.25" customHeight="1">
      <c r="A265" s="27"/>
      <c r="B265" s="27"/>
      <c r="C265" s="9"/>
      <c r="D265" s="9"/>
      <c r="E265" s="38"/>
      <c r="F265" s="38"/>
    </row>
    <row r="266" ht="14.25" customHeight="1">
      <c r="A266" s="27"/>
      <c r="B266" s="27"/>
      <c r="C266" s="9"/>
      <c r="D266" s="9"/>
      <c r="E266" s="38"/>
      <c r="F266" s="38"/>
    </row>
    <row r="267" ht="14.25" customHeight="1">
      <c r="A267" s="27"/>
      <c r="B267" s="27"/>
      <c r="C267" s="9"/>
      <c r="D267" s="9"/>
      <c r="E267" s="38"/>
      <c r="F267" s="38"/>
    </row>
    <row r="268" ht="14.25" customHeight="1">
      <c r="A268" s="27"/>
      <c r="B268" s="27"/>
      <c r="C268" s="9"/>
      <c r="D268" s="9"/>
      <c r="E268" s="38"/>
      <c r="F268" s="38"/>
    </row>
    <row r="269" ht="14.25" customHeight="1">
      <c r="A269" s="27"/>
      <c r="B269" s="27"/>
      <c r="C269" s="9"/>
      <c r="D269" s="9"/>
      <c r="E269" s="38"/>
      <c r="F269" s="38"/>
    </row>
    <row r="270" ht="14.25" customHeight="1">
      <c r="A270" s="27"/>
      <c r="B270" s="27"/>
      <c r="C270" s="9"/>
      <c r="D270" s="9"/>
      <c r="E270" s="38"/>
      <c r="F270" s="38"/>
    </row>
    <row r="271" ht="14.25" customHeight="1">
      <c r="A271" s="27"/>
      <c r="B271" s="27"/>
      <c r="C271" s="9"/>
      <c r="D271" s="9"/>
      <c r="E271" s="38"/>
      <c r="F271" s="38"/>
    </row>
    <row r="272" ht="14.25" customHeight="1">
      <c r="A272" s="27"/>
      <c r="B272" s="27"/>
      <c r="C272" s="9"/>
      <c r="D272" s="9"/>
      <c r="E272" s="38"/>
      <c r="F272" s="38"/>
    </row>
    <row r="273" ht="14.25" customHeight="1">
      <c r="A273" s="27"/>
      <c r="B273" s="27"/>
      <c r="C273" s="9"/>
      <c r="D273" s="9"/>
      <c r="E273" s="38"/>
      <c r="F273" s="38"/>
    </row>
    <row r="274" ht="14.25" customHeight="1">
      <c r="A274" s="27"/>
      <c r="B274" s="27"/>
      <c r="C274" s="9"/>
      <c r="D274" s="9"/>
      <c r="E274" s="38"/>
      <c r="F274" s="38"/>
    </row>
    <row r="275" ht="14.25" customHeight="1">
      <c r="A275" s="27"/>
      <c r="B275" s="27"/>
      <c r="C275" s="9"/>
      <c r="D275" s="9"/>
      <c r="E275" s="38"/>
      <c r="F275" s="38"/>
    </row>
    <row r="276" ht="14.25" customHeight="1">
      <c r="A276" s="27"/>
      <c r="B276" s="27"/>
      <c r="C276" s="9"/>
      <c r="D276" s="9"/>
      <c r="E276" s="38"/>
      <c r="F276" s="38"/>
    </row>
    <row r="277" ht="14.25" customHeight="1">
      <c r="A277" s="27"/>
      <c r="B277" s="27"/>
      <c r="C277" s="9"/>
      <c r="D277" s="9"/>
      <c r="E277" s="38"/>
      <c r="F277" s="38"/>
    </row>
    <row r="278" ht="14.25" customHeight="1">
      <c r="A278" s="27"/>
      <c r="B278" s="27"/>
      <c r="C278" s="9"/>
      <c r="D278" s="9"/>
      <c r="E278" s="38"/>
      <c r="F278" s="38"/>
    </row>
    <row r="279" ht="14.25" customHeight="1">
      <c r="A279" s="27"/>
      <c r="B279" s="27"/>
      <c r="C279" s="9"/>
      <c r="D279" s="9"/>
      <c r="E279" s="38"/>
      <c r="F279" s="38"/>
    </row>
    <row r="280" ht="14.25" customHeight="1">
      <c r="A280" s="27"/>
      <c r="B280" s="27"/>
      <c r="C280" s="9"/>
      <c r="D280" s="9"/>
      <c r="E280" s="38"/>
      <c r="F280" s="38"/>
    </row>
    <row r="281" ht="14.25" customHeight="1">
      <c r="A281" s="27"/>
      <c r="B281" s="27"/>
      <c r="C281" s="9"/>
      <c r="D281" s="9"/>
      <c r="E281" s="38"/>
      <c r="F281" s="38"/>
    </row>
    <row r="282" ht="14.25" customHeight="1">
      <c r="A282" s="27"/>
      <c r="B282" s="27"/>
      <c r="C282" s="9"/>
      <c r="D282" s="9"/>
      <c r="E282" s="38"/>
      <c r="F282" s="38"/>
    </row>
    <row r="283" ht="14.25" customHeight="1">
      <c r="A283" s="27"/>
      <c r="B283" s="27"/>
      <c r="C283" s="9"/>
      <c r="D283" s="9"/>
      <c r="E283" s="38"/>
      <c r="F283" s="38"/>
    </row>
    <row r="284" ht="14.25" customHeight="1">
      <c r="A284" s="27"/>
      <c r="B284" s="27"/>
      <c r="C284" s="9"/>
      <c r="D284" s="9"/>
      <c r="E284" s="38"/>
      <c r="F284" s="38"/>
    </row>
    <row r="285" ht="14.25" customHeight="1">
      <c r="A285" s="27"/>
      <c r="B285" s="27"/>
      <c r="C285" s="9"/>
      <c r="D285" s="9"/>
      <c r="E285" s="38"/>
      <c r="F285" s="38"/>
    </row>
    <row r="286" ht="14.25" customHeight="1">
      <c r="A286" s="27"/>
      <c r="B286" s="27"/>
      <c r="C286" s="9"/>
      <c r="D286" s="9"/>
      <c r="E286" s="38"/>
      <c r="F286" s="38"/>
    </row>
    <row r="287" ht="14.25" customHeight="1">
      <c r="A287" s="27"/>
      <c r="B287" s="27"/>
      <c r="C287" s="9"/>
      <c r="D287" s="9"/>
      <c r="E287" s="38"/>
      <c r="F287" s="38"/>
    </row>
    <row r="288" ht="14.25" customHeight="1">
      <c r="A288" s="27"/>
      <c r="B288" s="27"/>
      <c r="C288" s="9"/>
      <c r="D288" s="9"/>
      <c r="E288" s="38"/>
      <c r="F288" s="38"/>
    </row>
    <row r="289" ht="14.25" customHeight="1">
      <c r="A289" s="27"/>
      <c r="B289" s="27"/>
      <c r="C289" s="9"/>
      <c r="D289" s="9"/>
      <c r="E289" s="38"/>
      <c r="F289" s="38"/>
    </row>
    <row r="290" ht="14.25" customHeight="1">
      <c r="A290" s="27"/>
      <c r="B290" s="27"/>
      <c r="C290" s="9"/>
      <c r="D290" s="9"/>
      <c r="E290" s="38"/>
      <c r="F290" s="38"/>
    </row>
    <row r="291" ht="14.25" customHeight="1">
      <c r="A291" s="27"/>
      <c r="B291" s="27"/>
      <c r="C291" s="9"/>
      <c r="D291" s="9"/>
      <c r="E291" s="38"/>
      <c r="F291" s="38"/>
    </row>
    <row r="292" ht="14.25" customHeight="1">
      <c r="A292" s="27"/>
      <c r="B292" s="27"/>
      <c r="C292" s="9"/>
      <c r="D292" s="9"/>
      <c r="E292" s="38"/>
      <c r="F292" s="38"/>
    </row>
    <row r="293" ht="14.25" customHeight="1">
      <c r="A293" s="27"/>
      <c r="B293" s="27"/>
      <c r="C293" s="9"/>
      <c r="D293" s="9"/>
      <c r="E293" s="38"/>
      <c r="F293" s="38"/>
    </row>
    <row r="294" ht="14.25" customHeight="1">
      <c r="A294" s="27"/>
      <c r="B294" s="27"/>
      <c r="C294" s="9"/>
      <c r="D294" s="9"/>
      <c r="E294" s="38"/>
      <c r="F294" s="38"/>
    </row>
    <row r="295" ht="14.25" customHeight="1">
      <c r="A295" s="27"/>
      <c r="B295" s="27"/>
      <c r="C295" s="9"/>
      <c r="D295" s="9"/>
      <c r="E295" s="38"/>
      <c r="F295" s="38"/>
    </row>
    <row r="296" ht="14.25" customHeight="1">
      <c r="A296" s="27"/>
      <c r="B296" s="27"/>
      <c r="C296" s="9"/>
      <c r="D296" s="9"/>
      <c r="E296" s="38"/>
      <c r="F296" s="38"/>
    </row>
    <row r="297" ht="14.25" customHeight="1">
      <c r="A297" s="27"/>
      <c r="B297" s="27"/>
      <c r="C297" s="9"/>
      <c r="D297" s="9"/>
      <c r="E297" s="38"/>
      <c r="F297" s="38"/>
    </row>
    <row r="298" ht="14.25" customHeight="1">
      <c r="A298" s="27"/>
      <c r="B298" s="27"/>
      <c r="C298" s="9"/>
      <c r="D298" s="9"/>
      <c r="E298" s="38"/>
      <c r="F298" s="38"/>
    </row>
    <row r="299" ht="14.25" customHeight="1">
      <c r="A299" s="27"/>
      <c r="B299" s="27"/>
      <c r="C299" s="9"/>
      <c r="D299" s="9"/>
      <c r="E299" s="38"/>
      <c r="F299" s="38"/>
    </row>
    <row r="300" ht="14.25" customHeight="1">
      <c r="A300" s="27"/>
      <c r="B300" s="27"/>
      <c r="C300" s="9"/>
      <c r="D300" s="9"/>
      <c r="E300" s="38"/>
      <c r="F300" s="38"/>
    </row>
    <row r="301" ht="14.25" customHeight="1">
      <c r="A301" s="27"/>
      <c r="B301" s="27"/>
      <c r="C301" s="9"/>
      <c r="D301" s="9"/>
      <c r="E301" s="38"/>
      <c r="F301" s="38"/>
    </row>
    <row r="302" ht="14.25" customHeight="1">
      <c r="A302" s="27"/>
      <c r="B302" s="27"/>
      <c r="C302" s="9"/>
      <c r="D302" s="9"/>
      <c r="E302" s="38"/>
      <c r="F302" s="38"/>
    </row>
    <row r="303" ht="14.25" customHeight="1">
      <c r="A303" s="27"/>
      <c r="B303" s="27"/>
      <c r="C303" s="9"/>
      <c r="D303" s="9"/>
      <c r="E303" s="38"/>
      <c r="F303" s="38"/>
    </row>
    <row r="304" ht="14.25" customHeight="1">
      <c r="A304" s="27"/>
      <c r="B304" s="27"/>
      <c r="C304" s="9"/>
      <c r="D304" s="9"/>
      <c r="E304" s="38"/>
      <c r="F304" s="38"/>
    </row>
    <row r="305" ht="14.25" customHeight="1">
      <c r="A305" s="27"/>
      <c r="B305" s="27"/>
      <c r="C305" s="9"/>
      <c r="D305" s="9"/>
      <c r="E305" s="38"/>
      <c r="F305" s="38"/>
    </row>
    <row r="306" ht="14.25" customHeight="1">
      <c r="A306" s="27"/>
      <c r="B306" s="27"/>
      <c r="C306" s="9"/>
      <c r="D306" s="9"/>
      <c r="E306" s="38"/>
      <c r="F306" s="38"/>
    </row>
    <row r="307" ht="14.25" customHeight="1">
      <c r="A307" s="27"/>
      <c r="B307" s="27"/>
      <c r="C307" s="9"/>
      <c r="D307" s="9"/>
      <c r="E307" s="38"/>
      <c r="F307" s="38"/>
    </row>
    <row r="308" ht="14.25" customHeight="1">
      <c r="A308" s="27"/>
      <c r="B308" s="27"/>
      <c r="C308" s="9"/>
      <c r="D308" s="9"/>
      <c r="E308" s="38"/>
      <c r="F308" s="38"/>
    </row>
    <row r="309" ht="14.25" customHeight="1">
      <c r="A309" s="27"/>
      <c r="B309" s="27"/>
      <c r="C309" s="9"/>
      <c r="D309" s="9"/>
      <c r="E309" s="38"/>
      <c r="F309" s="38"/>
    </row>
    <row r="310" ht="14.25" customHeight="1">
      <c r="A310" s="27"/>
      <c r="B310" s="27"/>
      <c r="C310" s="9"/>
      <c r="D310" s="9"/>
      <c r="E310" s="38"/>
      <c r="F310" s="38"/>
    </row>
    <row r="311" ht="14.25" customHeight="1">
      <c r="A311" s="27"/>
      <c r="B311" s="27"/>
      <c r="C311" s="9"/>
      <c r="D311" s="9"/>
      <c r="E311" s="38"/>
      <c r="F311" s="38"/>
    </row>
    <row r="312" ht="14.25" customHeight="1">
      <c r="A312" s="27"/>
      <c r="B312" s="27"/>
      <c r="C312" s="9"/>
      <c r="D312" s="9"/>
      <c r="E312" s="38"/>
      <c r="F312" s="38"/>
    </row>
    <row r="313" ht="14.25" customHeight="1">
      <c r="A313" s="27"/>
      <c r="B313" s="27"/>
      <c r="C313" s="9"/>
      <c r="D313" s="9"/>
      <c r="E313" s="38"/>
      <c r="F313" s="38"/>
    </row>
    <row r="314" ht="14.25" customHeight="1">
      <c r="A314" s="27"/>
      <c r="B314" s="27"/>
      <c r="C314" s="9"/>
      <c r="D314" s="9"/>
      <c r="E314" s="38"/>
      <c r="F314" s="38"/>
    </row>
    <row r="315" ht="14.25" customHeight="1">
      <c r="A315" s="27"/>
      <c r="B315" s="27"/>
      <c r="C315" s="9"/>
      <c r="D315" s="9"/>
      <c r="E315" s="38"/>
      <c r="F315" s="38"/>
    </row>
    <row r="316" ht="14.25" customHeight="1">
      <c r="A316" s="27"/>
      <c r="B316" s="27"/>
      <c r="C316" s="9"/>
      <c r="D316" s="9"/>
      <c r="E316" s="38"/>
      <c r="F316" s="38"/>
    </row>
    <row r="317" ht="14.25" customHeight="1">
      <c r="A317" s="27"/>
      <c r="B317" s="27"/>
      <c r="C317" s="9"/>
      <c r="D317" s="9"/>
      <c r="E317" s="38"/>
      <c r="F317" s="38"/>
    </row>
    <row r="318" ht="14.25" customHeight="1">
      <c r="A318" s="27"/>
      <c r="B318" s="27"/>
      <c r="C318" s="9"/>
      <c r="D318" s="9"/>
      <c r="E318" s="38"/>
      <c r="F318" s="38"/>
    </row>
    <row r="319" ht="14.25" customHeight="1">
      <c r="A319" s="27"/>
      <c r="B319" s="27"/>
      <c r="C319" s="9"/>
      <c r="D319" s="9"/>
      <c r="E319" s="38"/>
      <c r="F319" s="38"/>
    </row>
    <row r="320" ht="14.25" customHeight="1">
      <c r="A320" s="27"/>
      <c r="B320" s="27"/>
      <c r="C320" s="9"/>
      <c r="D320" s="9"/>
      <c r="E320" s="38"/>
      <c r="F320" s="38"/>
    </row>
    <row r="321" ht="14.25" customHeight="1">
      <c r="A321" s="27"/>
      <c r="B321" s="27"/>
      <c r="C321" s="9"/>
      <c r="D321" s="9"/>
      <c r="E321" s="38"/>
      <c r="F321" s="38"/>
    </row>
    <row r="322" ht="14.25" customHeight="1">
      <c r="A322" s="27"/>
      <c r="B322" s="27"/>
      <c r="C322" s="9"/>
      <c r="D322" s="9"/>
      <c r="E322" s="38"/>
      <c r="F322" s="38"/>
    </row>
    <row r="323" ht="14.25" customHeight="1">
      <c r="A323" s="27"/>
      <c r="B323" s="27"/>
      <c r="C323" s="9"/>
      <c r="D323" s="9"/>
      <c r="E323" s="38"/>
      <c r="F323" s="38"/>
    </row>
    <row r="324" ht="14.25" customHeight="1">
      <c r="A324" s="27"/>
      <c r="B324" s="27"/>
      <c r="C324" s="9"/>
      <c r="D324" s="9"/>
      <c r="E324" s="38"/>
      <c r="F324" s="38"/>
    </row>
    <row r="325" ht="14.25" customHeight="1">
      <c r="A325" s="27"/>
      <c r="B325" s="27"/>
      <c r="C325" s="9"/>
      <c r="D325" s="9"/>
      <c r="E325" s="38"/>
      <c r="F325" s="38"/>
    </row>
    <row r="326" ht="14.25" customHeight="1">
      <c r="A326" s="27"/>
      <c r="B326" s="27"/>
      <c r="C326" s="9"/>
      <c r="D326" s="9"/>
      <c r="E326" s="38"/>
      <c r="F326" s="38"/>
    </row>
    <row r="327" ht="14.25" customHeight="1">
      <c r="A327" s="27"/>
      <c r="B327" s="27"/>
      <c r="C327" s="9"/>
      <c r="D327" s="9"/>
      <c r="E327" s="38"/>
      <c r="F327" s="38"/>
    </row>
    <row r="328" ht="14.25" customHeight="1">
      <c r="A328" s="27"/>
      <c r="B328" s="27"/>
      <c r="C328" s="9"/>
      <c r="D328" s="9"/>
      <c r="E328" s="38"/>
      <c r="F328" s="38"/>
    </row>
    <row r="329" ht="14.25" customHeight="1">
      <c r="A329" s="27"/>
      <c r="B329" s="27"/>
      <c r="C329" s="9"/>
      <c r="D329" s="9"/>
      <c r="E329" s="38"/>
      <c r="F329" s="38"/>
    </row>
    <row r="330" ht="14.25" customHeight="1">
      <c r="A330" s="27"/>
      <c r="B330" s="27"/>
      <c r="C330" s="9"/>
      <c r="D330" s="9"/>
      <c r="E330" s="38"/>
      <c r="F330" s="38"/>
    </row>
    <row r="331" ht="14.25" customHeight="1">
      <c r="A331" s="27"/>
      <c r="B331" s="27"/>
      <c r="C331" s="9"/>
      <c r="D331" s="9"/>
      <c r="E331" s="38"/>
      <c r="F331" s="38"/>
    </row>
    <row r="332" ht="14.25" customHeight="1">
      <c r="A332" s="27"/>
      <c r="B332" s="27"/>
      <c r="C332" s="9"/>
      <c r="D332" s="9"/>
      <c r="E332" s="38"/>
      <c r="F332" s="38"/>
    </row>
    <row r="333" ht="14.25" customHeight="1">
      <c r="A333" s="27"/>
      <c r="B333" s="27"/>
      <c r="C333" s="9"/>
      <c r="D333" s="9"/>
      <c r="E333" s="38"/>
      <c r="F333" s="38"/>
    </row>
    <row r="334" ht="14.25" customHeight="1">
      <c r="A334" s="27"/>
      <c r="B334" s="27"/>
      <c r="C334" s="9"/>
      <c r="D334" s="9"/>
      <c r="E334" s="38"/>
      <c r="F334" s="38"/>
    </row>
    <row r="335" ht="14.25" customHeight="1">
      <c r="A335" s="27"/>
      <c r="B335" s="27"/>
      <c r="C335" s="9"/>
      <c r="D335" s="9"/>
      <c r="E335" s="38"/>
      <c r="F335" s="38"/>
    </row>
    <row r="336" ht="14.25" customHeight="1">
      <c r="A336" s="27"/>
      <c r="B336" s="27"/>
      <c r="C336" s="9"/>
      <c r="D336" s="9"/>
      <c r="E336" s="38"/>
      <c r="F336" s="38"/>
    </row>
    <row r="337" ht="14.25" customHeight="1">
      <c r="A337" s="27"/>
      <c r="B337" s="27"/>
      <c r="C337" s="9"/>
      <c r="D337" s="9"/>
      <c r="E337" s="38"/>
      <c r="F337" s="38"/>
    </row>
    <row r="338" ht="14.25" customHeight="1">
      <c r="A338" s="27"/>
      <c r="B338" s="27"/>
      <c r="C338" s="9"/>
      <c r="D338" s="9"/>
      <c r="E338" s="38"/>
      <c r="F338" s="38"/>
    </row>
    <row r="339" ht="14.25" customHeight="1">
      <c r="A339" s="27"/>
      <c r="B339" s="27"/>
      <c r="C339" s="9"/>
      <c r="D339" s="9"/>
      <c r="E339" s="38"/>
      <c r="F339" s="38"/>
    </row>
    <row r="340" ht="14.25" customHeight="1">
      <c r="A340" s="27"/>
      <c r="B340" s="27"/>
      <c r="C340" s="9"/>
      <c r="D340" s="9"/>
      <c r="E340" s="38"/>
      <c r="F340" s="38"/>
    </row>
    <row r="341" ht="14.25" customHeight="1">
      <c r="A341" s="27"/>
      <c r="B341" s="27"/>
      <c r="C341" s="9"/>
      <c r="D341" s="9"/>
      <c r="E341" s="38"/>
      <c r="F341" s="38"/>
    </row>
    <row r="342" ht="14.25" customHeight="1">
      <c r="A342" s="27"/>
      <c r="B342" s="27"/>
      <c r="C342" s="9"/>
      <c r="D342" s="9"/>
      <c r="E342" s="38"/>
      <c r="F342" s="38"/>
    </row>
    <row r="343" ht="14.25" customHeight="1">
      <c r="A343" s="27"/>
      <c r="B343" s="27"/>
      <c r="C343" s="9"/>
      <c r="D343" s="9"/>
      <c r="E343" s="38"/>
      <c r="F343" s="38"/>
    </row>
    <row r="344" ht="14.25" customHeight="1">
      <c r="A344" s="27"/>
      <c r="B344" s="27"/>
      <c r="C344" s="9"/>
      <c r="D344" s="9"/>
      <c r="E344" s="38"/>
      <c r="F344" s="38"/>
    </row>
    <row r="345" ht="14.25" customHeight="1">
      <c r="A345" s="27"/>
      <c r="B345" s="27"/>
      <c r="C345" s="9"/>
      <c r="D345" s="9"/>
      <c r="E345" s="38"/>
      <c r="F345" s="38"/>
    </row>
    <row r="346" ht="14.25" customHeight="1">
      <c r="A346" s="27"/>
      <c r="B346" s="27"/>
      <c r="C346" s="9"/>
      <c r="D346" s="9"/>
      <c r="E346" s="38"/>
      <c r="F346" s="38"/>
    </row>
    <row r="347" ht="14.25" customHeight="1">
      <c r="A347" s="27"/>
      <c r="B347" s="27"/>
      <c r="C347" s="9"/>
      <c r="D347" s="9"/>
      <c r="E347" s="38"/>
      <c r="F347" s="38"/>
    </row>
    <row r="348" ht="14.25" customHeight="1">
      <c r="A348" s="27"/>
      <c r="B348" s="27"/>
      <c r="C348" s="9"/>
      <c r="D348" s="9"/>
      <c r="E348" s="38"/>
      <c r="F348" s="38"/>
    </row>
    <row r="349" ht="14.25" customHeight="1">
      <c r="A349" s="27"/>
      <c r="B349" s="27"/>
      <c r="C349" s="9"/>
      <c r="D349" s="9"/>
      <c r="E349" s="38"/>
      <c r="F349" s="38"/>
    </row>
    <row r="350" ht="14.25" customHeight="1">
      <c r="A350" s="27"/>
      <c r="B350" s="27"/>
      <c r="C350" s="9"/>
      <c r="D350" s="9"/>
      <c r="E350" s="38"/>
      <c r="F350" s="38"/>
    </row>
    <row r="351" ht="14.25" customHeight="1">
      <c r="A351" s="27"/>
      <c r="B351" s="27"/>
      <c r="C351" s="9"/>
      <c r="D351" s="9"/>
      <c r="E351" s="38"/>
      <c r="F351" s="38"/>
    </row>
    <row r="352" ht="14.25" customHeight="1">
      <c r="A352" s="27"/>
      <c r="B352" s="27"/>
      <c r="C352" s="9"/>
      <c r="D352" s="9"/>
      <c r="E352" s="38"/>
      <c r="F352" s="38"/>
    </row>
    <row r="353" ht="14.25" customHeight="1">
      <c r="A353" s="27"/>
      <c r="B353" s="27"/>
      <c r="C353" s="9"/>
      <c r="D353" s="9"/>
      <c r="E353" s="38"/>
      <c r="F353" s="38"/>
    </row>
    <row r="354" ht="14.25" customHeight="1">
      <c r="A354" s="27"/>
      <c r="B354" s="27"/>
      <c r="C354" s="9"/>
      <c r="D354" s="9"/>
      <c r="E354" s="38"/>
      <c r="F354" s="38"/>
    </row>
    <row r="355" ht="14.25" customHeight="1">
      <c r="A355" s="27"/>
      <c r="B355" s="27"/>
      <c r="C355" s="9"/>
      <c r="D355" s="9"/>
      <c r="E355" s="38"/>
      <c r="F355" s="38"/>
    </row>
    <row r="356" ht="14.25" customHeight="1">
      <c r="A356" s="27"/>
      <c r="B356" s="27"/>
      <c r="C356" s="9"/>
      <c r="D356" s="9"/>
      <c r="E356" s="38"/>
      <c r="F356" s="38"/>
    </row>
    <row r="357" ht="14.25" customHeight="1">
      <c r="A357" s="27"/>
      <c r="B357" s="27"/>
      <c r="C357" s="9"/>
      <c r="D357" s="9"/>
      <c r="E357" s="38"/>
      <c r="F357" s="38"/>
    </row>
    <row r="358" ht="14.25" customHeight="1">
      <c r="A358" s="27"/>
      <c r="B358" s="27"/>
      <c r="C358" s="9"/>
      <c r="D358" s="9"/>
      <c r="E358" s="38"/>
      <c r="F358" s="38"/>
    </row>
    <row r="359" ht="14.25" customHeight="1">
      <c r="A359" s="27"/>
      <c r="B359" s="27"/>
      <c r="C359" s="9"/>
      <c r="D359" s="9"/>
      <c r="E359" s="38"/>
      <c r="F359" s="38"/>
    </row>
    <row r="360" ht="14.25" customHeight="1">
      <c r="A360" s="27"/>
      <c r="B360" s="27"/>
      <c r="C360" s="9"/>
      <c r="D360" s="9"/>
      <c r="E360" s="38"/>
      <c r="F360" s="38"/>
    </row>
    <row r="361" ht="14.25" customHeight="1">
      <c r="A361" s="27"/>
      <c r="B361" s="27"/>
      <c r="C361" s="9"/>
      <c r="D361" s="9"/>
      <c r="E361" s="38"/>
      <c r="F361" s="38"/>
    </row>
    <row r="362" ht="14.25" customHeight="1">
      <c r="A362" s="27"/>
      <c r="B362" s="27"/>
      <c r="C362" s="9"/>
      <c r="D362" s="9"/>
      <c r="E362" s="38"/>
      <c r="F362" s="38"/>
    </row>
    <row r="363" ht="14.25" customHeight="1">
      <c r="A363" s="27"/>
      <c r="B363" s="27"/>
      <c r="C363" s="9"/>
      <c r="D363" s="9"/>
      <c r="E363" s="38"/>
      <c r="F363" s="38"/>
    </row>
    <row r="364" ht="14.25" customHeight="1">
      <c r="A364" s="27"/>
      <c r="B364" s="27"/>
      <c r="C364" s="9"/>
      <c r="D364" s="9"/>
      <c r="E364" s="38"/>
      <c r="F364" s="38"/>
    </row>
    <row r="365" ht="14.25" customHeight="1">
      <c r="A365" s="27"/>
      <c r="B365" s="27"/>
      <c r="C365" s="9"/>
      <c r="D365" s="9"/>
      <c r="E365" s="38"/>
      <c r="F365" s="38"/>
    </row>
    <row r="366" ht="14.25" customHeight="1">
      <c r="A366" s="27"/>
      <c r="B366" s="27"/>
      <c r="C366" s="9"/>
      <c r="D366" s="9"/>
      <c r="E366" s="38"/>
      <c r="F366" s="38"/>
    </row>
    <row r="367" ht="14.25" customHeight="1">
      <c r="A367" s="27"/>
      <c r="B367" s="27"/>
      <c r="C367" s="9"/>
      <c r="D367" s="9"/>
      <c r="E367" s="38"/>
      <c r="F367" s="38"/>
    </row>
    <row r="368" ht="14.25" customHeight="1">
      <c r="A368" s="27"/>
      <c r="B368" s="27"/>
      <c r="C368" s="9"/>
      <c r="D368" s="9"/>
      <c r="E368" s="38"/>
      <c r="F368" s="38"/>
    </row>
    <row r="369" ht="14.25" customHeight="1">
      <c r="A369" s="27"/>
      <c r="B369" s="27"/>
      <c r="C369" s="9"/>
      <c r="D369" s="9"/>
      <c r="E369" s="38"/>
      <c r="F369" s="38"/>
    </row>
    <row r="370" ht="14.25" customHeight="1">
      <c r="A370" s="27"/>
      <c r="B370" s="27"/>
      <c r="C370" s="9"/>
      <c r="D370" s="9"/>
      <c r="E370" s="38"/>
      <c r="F370" s="38"/>
    </row>
    <row r="371" ht="14.25" customHeight="1">
      <c r="A371" s="27"/>
      <c r="B371" s="27"/>
      <c r="C371" s="9"/>
      <c r="D371" s="9"/>
      <c r="E371" s="38"/>
      <c r="F371" s="38"/>
    </row>
    <row r="372" ht="14.25" customHeight="1">
      <c r="A372" s="27"/>
      <c r="B372" s="27"/>
      <c r="C372" s="9"/>
      <c r="D372" s="9"/>
      <c r="E372" s="38"/>
      <c r="F372" s="38"/>
    </row>
    <row r="373" ht="14.25" customHeight="1">
      <c r="A373" s="27"/>
      <c r="B373" s="27"/>
      <c r="C373" s="9"/>
      <c r="D373" s="9"/>
      <c r="E373" s="38"/>
      <c r="F373" s="38"/>
    </row>
    <row r="374" ht="14.25" customHeight="1">
      <c r="A374" s="27"/>
      <c r="B374" s="27"/>
      <c r="C374" s="9"/>
      <c r="D374" s="9"/>
      <c r="E374" s="38"/>
      <c r="F374" s="38"/>
    </row>
    <row r="375" ht="14.25" customHeight="1">
      <c r="A375" s="27"/>
      <c r="B375" s="27"/>
      <c r="C375" s="9"/>
      <c r="D375" s="9"/>
      <c r="E375" s="38"/>
      <c r="F375" s="38"/>
    </row>
    <row r="376" ht="14.25" customHeight="1">
      <c r="A376" s="27"/>
      <c r="B376" s="27"/>
      <c r="C376" s="9"/>
      <c r="D376" s="9"/>
      <c r="E376" s="38"/>
      <c r="F376" s="38"/>
    </row>
    <row r="377" ht="14.25" customHeight="1">
      <c r="A377" s="27"/>
      <c r="B377" s="27"/>
      <c r="C377" s="9"/>
      <c r="D377" s="9"/>
      <c r="E377" s="38"/>
      <c r="F377" s="38"/>
    </row>
    <row r="378" ht="14.25" customHeight="1">
      <c r="A378" s="27"/>
      <c r="B378" s="27"/>
      <c r="C378" s="9"/>
      <c r="D378" s="9"/>
      <c r="E378" s="38"/>
      <c r="F378" s="38"/>
    </row>
    <row r="379" ht="14.25" customHeight="1">
      <c r="A379" s="27"/>
      <c r="B379" s="27"/>
      <c r="C379" s="9"/>
      <c r="D379" s="9"/>
      <c r="E379" s="38"/>
      <c r="F379" s="38"/>
    </row>
    <row r="380" ht="14.25" customHeight="1">
      <c r="A380" s="27"/>
      <c r="B380" s="27"/>
      <c r="C380" s="9"/>
      <c r="D380" s="9"/>
      <c r="E380" s="38"/>
      <c r="F380" s="38"/>
    </row>
    <row r="381" ht="14.25" customHeight="1">
      <c r="A381" s="27"/>
      <c r="B381" s="27"/>
      <c r="C381" s="9"/>
      <c r="D381" s="9"/>
      <c r="E381" s="38"/>
      <c r="F381" s="38"/>
    </row>
    <row r="382" ht="14.25" customHeight="1">
      <c r="A382" s="27"/>
      <c r="B382" s="27"/>
      <c r="C382" s="9"/>
      <c r="D382" s="9"/>
      <c r="E382" s="38"/>
      <c r="F382" s="38"/>
    </row>
    <row r="383" ht="14.25" customHeight="1">
      <c r="A383" s="27"/>
      <c r="B383" s="27"/>
      <c r="C383" s="9"/>
      <c r="D383" s="9"/>
      <c r="E383" s="38"/>
      <c r="F383" s="38"/>
    </row>
    <row r="384" ht="14.25" customHeight="1">
      <c r="A384" s="27"/>
      <c r="B384" s="27"/>
      <c r="C384" s="9"/>
      <c r="D384" s="9"/>
      <c r="E384" s="38"/>
      <c r="F384" s="38"/>
    </row>
    <row r="385" ht="14.25" customHeight="1">
      <c r="A385" s="27"/>
      <c r="B385" s="27"/>
      <c r="C385" s="9"/>
      <c r="D385" s="9"/>
      <c r="E385" s="38"/>
      <c r="F385" s="38"/>
    </row>
    <row r="386" ht="14.25" customHeight="1">
      <c r="A386" s="27"/>
      <c r="B386" s="27"/>
      <c r="C386" s="9"/>
      <c r="D386" s="9"/>
      <c r="E386" s="38"/>
      <c r="F386" s="38"/>
    </row>
    <row r="387" ht="14.25" customHeight="1">
      <c r="A387" s="27"/>
      <c r="B387" s="27"/>
      <c r="C387" s="9"/>
      <c r="D387" s="9"/>
      <c r="E387" s="38"/>
      <c r="F387" s="38"/>
    </row>
    <row r="388" ht="14.25" customHeight="1">
      <c r="A388" s="27"/>
      <c r="B388" s="27"/>
      <c r="C388" s="9"/>
      <c r="D388" s="9"/>
      <c r="E388" s="38"/>
      <c r="F388" s="38"/>
    </row>
    <row r="389" ht="14.25" customHeight="1">
      <c r="A389" s="27"/>
      <c r="B389" s="27"/>
      <c r="C389" s="9"/>
      <c r="D389" s="9"/>
      <c r="E389" s="38"/>
      <c r="F389" s="38"/>
    </row>
    <row r="390" ht="14.25" customHeight="1">
      <c r="A390" s="27"/>
      <c r="B390" s="27"/>
      <c r="C390" s="9"/>
      <c r="D390" s="9"/>
      <c r="E390" s="38"/>
      <c r="F390" s="38"/>
    </row>
    <row r="391" ht="14.25" customHeight="1">
      <c r="A391" s="27"/>
      <c r="B391" s="27"/>
      <c r="C391" s="9"/>
      <c r="D391" s="9"/>
      <c r="E391" s="38"/>
      <c r="F391" s="38"/>
    </row>
    <row r="392" ht="14.25" customHeight="1">
      <c r="A392" s="27"/>
      <c r="B392" s="27"/>
      <c r="C392" s="9"/>
      <c r="D392" s="9"/>
      <c r="E392" s="38"/>
      <c r="F392" s="38"/>
    </row>
    <row r="393" ht="14.25" customHeight="1">
      <c r="A393" s="27"/>
      <c r="B393" s="27"/>
      <c r="C393" s="9"/>
      <c r="D393" s="9"/>
      <c r="E393" s="38"/>
      <c r="F393" s="38"/>
    </row>
    <row r="394" ht="14.25" customHeight="1">
      <c r="A394" s="27"/>
      <c r="B394" s="27"/>
      <c r="C394" s="9"/>
      <c r="D394" s="9"/>
      <c r="E394" s="38"/>
      <c r="F394" s="38"/>
    </row>
    <row r="395" ht="14.25" customHeight="1">
      <c r="A395" s="27"/>
      <c r="B395" s="27"/>
      <c r="C395" s="9"/>
      <c r="D395" s="9"/>
      <c r="E395" s="38"/>
      <c r="F395" s="38"/>
    </row>
    <row r="396" ht="14.25" customHeight="1">
      <c r="A396" s="27"/>
      <c r="B396" s="27"/>
      <c r="C396" s="9"/>
      <c r="D396" s="9"/>
      <c r="E396" s="38"/>
      <c r="F396" s="38"/>
    </row>
    <row r="397" ht="14.25" customHeight="1">
      <c r="A397" s="27"/>
      <c r="B397" s="27"/>
      <c r="C397" s="9"/>
      <c r="D397" s="9"/>
      <c r="E397" s="38"/>
      <c r="F397" s="38"/>
    </row>
    <row r="398" ht="14.25" customHeight="1">
      <c r="A398" s="27"/>
      <c r="B398" s="27"/>
      <c r="C398" s="9"/>
      <c r="D398" s="9"/>
      <c r="E398" s="38"/>
      <c r="F398" s="38"/>
    </row>
    <row r="399" ht="14.25" customHeight="1">
      <c r="A399" s="27"/>
      <c r="B399" s="27"/>
      <c r="C399" s="9"/>
      <c r="D399" s="9"/>
      <c r="E399" s="38"/>
      <c r="F399" s="38"/>
    </row>
    <row r="400" ht="14.25" customHeight="1">
      <c r="A400" s="27"/>
      <c r="B400" s="27"/>
      <c r="C400" s="9"/>
      <c r="D400" s="9"/>
      <c r="E400" s="38"/>
      <c r="F400" s="38"/>
    </row>
    <row r="401" ht="14.25" customHeight="1">
      <c r="A401" s="27"/>
      <c r="B401" s="27"/>
      <c r="C401" s="9"/>
      <c r="D401" s="9"/>
      <c r="E401" s="38"/>
      <c r="F401" s="38"/>
    </row>
    <row r="402" ht="14.25" customHeight="1">
      <c r="A402" s="27"/>
      <c r="B402" s="27"/>
      <c r="C402" s="9"/>
      <c r="D402" s="9"/>
      <c r="E402" s="38"/>
      <c r="F402" s="38"/>
    </row>
    <row r="403" ht="14.25" customHeight="1">
      <c r="A403" s="27"/>
      <c r="B403" s="27"/>
      <c r="C403" s="9"/>
      <c r="D403" s="9"/>
      <c r="E403" s="38"/>
      <c r="F403" s="38"/>
    </row>
    <row r="404" ht="14.25" customHeight="1">
      <c r="A404" s="27"/>
      <c r="B404" s="27"/>
      <c r="C404" s="9"/>
      <c r="D404" s="9"/>
      <c r="E404" s="38"/>
      <c r="F404" s="38"/>
    </row>
    <row r="405" ht="14.25" customHeight="1">
      <c r="A405" s="27"/>
      <c r="B405" s="27"/>
      <c r="C405" s="9"/>
      <c r="D405" s="9"/>
      <c r="E405" s="38"/>
      <c r="F405" s="38"/>
    </row>
    <row r="406" ht="14.25" customHeight="1">
      <c r="A406" s="27"/>
      <c r="B406" s="27"/>
      <c r="C406" s="9"/>
      <c r="D406" s="9"/>
      <c r="E406" s="38"/>
      <c r="F406" s="38"/>
    </row>
    <row r="407" ht="14.25" customHeight="1">
      <c r="A407" s="27"/>
      <c r="B407" s="27"/>
      <c r="C407" s="9"/>
      <c r="D407" s="9"/>
      <c r="E407" s="38"/>
      <c r="F407" s="38"/>
    </row>
    <row r="408" ht="14.25" customHeight="1">
      <c r="A408" s="27"/>
      <c r="B408" s="27"/>
      <c r="C408" s="9"/>
      <c r="D408" s="9"/>
      <c r="E408" s="38"/>
      <c r="F408" s="38"/>
    </row>
    <row r="409" ht="14.25" customHeight="1">
      <c r="A409" s="27"/>
      <c r="B409" s="27"/>
      <c r="C409" s="9"/>
      <c r="D409" s="9"/>
      <c r="E409" s="38"/>
      <c r="F409" s="38"/>
    </row>
    <row r="410" ht="14.25" customHeight="1">
      <c r="A410" s="27"/>
      <c r="B410" s="27"/>
      <c r="C410" s="9"/>
      <c r="D410" s="9"/>
      <c r="E410" s="38"/>
      <c r="F410" s="38"/>
    </row>
    <row r="411" ht="14.25" customHeight="1">
      <c r="A411" s="27"/>
      <c r="B411" s="27"/>
      <c r="C411" s="9"/>
      <c r="D411" s="9"/>
      <c r="E411" s="38"/>
      <c r="F411" s="38"/>
    </row>
    <row r="412" ht="14.25" customHeight="1">
      <c r="A412" s="27"/>
      <c r="B412" s="27"/>
      <c r="C412" s="9"/>
      <c r="D412" s="9"/>
      <c r="E412" s="38"/>
      <c r="F412" s="38"/>
    </row>
    <row r="413" ht="14.25" customHeight="1">
      <c r="A413" s="27"/>
      <c r="B413" s="27"/>
      <c r="C413" s="9"/>
      <c r="D413" s="9"/>
      <c r="E413" s="38"/>
      <c r="F413" s="38"/>
    </row>
    <row r="414" ht="14.25" customHeight="1">
      <c r="A414" s="27"/>
      <c r="B414" s="27"/>
      <c r="C414" s="9"/>
      <c r="D414" s="9"/>
      <c r="E414" s="38"/>
      <c r="F414" s="38"/>
    </row>
    <row r="415" ht="14.25" customHeight="1">
      <c r="A415" s="27"/>
      <c r="B415" s="27"/>
      <c r="C415" s="9"/>
      <c r="D415" s="9"/>
      <c r="E415" s="38"/>
      <c r="F415" s="38"/>
    </row>
    <row r="416" ht="14.25" customHeight="1">
      <c r="A416" s="27"/>
      <c r="B416" s="27"/>
      <c r="C416" s="9"/>
      <c r="D416" s="9"/>
      <c r="E416" s="38"/>
      <c r="F416" s="38"/>
    </row>
    <row r="417" ht="14.25" customHeight="1">
      <c r="A417" s="27"/>
      <c r="B417" s="27"/>
      <c r="C417" s="9"/>
      <c r="D417" s="9"/>
      <c r="E417" s="38"/>
      <c r="F417" s="38"/>
    </row>
    <row r="418" ht="14.25" customHeight="1">
      <c r="A418" s="27"/>
      <c r="B418" s="27"/>
      <c r="C418" s="9"/>
      <c r="D418" s="9"/>
      <c r="E418" s="38"/>
      <c r="F418" s="38"/>
    </row>
    <row r="419" ht="14.25" customHeight="1">
      <c r="A419" s="27"/>
      <c r="B419" s="27"/>
      <c r="C419" s="9"/>
      <c r="D419" s="9"/>
      <c r="E419" s="38"/>
      <c r="F419" s="38"/>
    </row>
    <row r="420" ht="14.25" customHeight="1">
      <c r="A420" s="27"/>
      <c r="B420" s="27"/>
      <c r="C420" s="9"/>
      <c r="D420" s="9"/>
      <c r="E420" s="38"/>
      <c r="F420" s="38"/>
    </row>
    <row r="421" ht="14.25" customHeight="1">
      <c r="A421" s="27"/>
      <c r="B421" s="27"/>
      <c r="C421" s="9"/>
      <c r="D421" s="9"/>
      <c r="E421" s="38"/>
      <c r="F421" s="38"/>
    </row>
    <row r="422" ht="14.25" customHeight="1">
      <c r="A422" s="27"/>
      <c r="B422" s="27"/>
      <c r="C422" s="9"/>
      <c r="D422" s="9"/>
      <c r="E422" s="38"/>
      <c r="F422" s="38"/>
    </row>
    <row r="423" ht="14.25" customHeight="1">
      <c r="A423" s="27"/>
      <c r="B423" s="27"/>
      <c r="C423" s="9"/>
      <c r="D423" s="9"/>
      <c r="E423" s="38"/>
      <c r="F423" s="38"/>
    </row>
    <row r="424" ht="14.25" customHeight="1">
      <c r="A424" s="27"/>
      <c r="B424" s="27"/>
      <c r="C424" s="9"/>
      <c r="D424" s="9"/>
      <c r="E424" s="38"/>
      <c r="F424" s="38"/>
    </row>
    <row r="425" ht="14.25" customHeight="1">
      <c r="A425" s="27"/>
      <c r="B425" s="27"/>
      <c r="C425" s="9"/>
      <c r="D425" s="9"/>
      <c r="E425" s="38"/>
      <c r="F425" s="38"/>
    </row>
    <row r="426" ht="14.25" customHeight="1">
      <c r="A426" s="27"/>
      <c r="B426" s="27"/>
      <c r="C426" s="9"/>
      <c r="D426" s="9"/>
      <c r="E426" s="38"/>
      <c r="F426" s="38"/>
    </row>
    <row r="427" ht="14.25" customHeight="1">
      <c r="A427" s="27"/>
      <c r="B427" s="27"/>
      <c r="C427" s="9"/>
      <c r="D427" s="9"/>
      <c r="E427" s="38"/>
      <c r="F427" s="38"/>
    </row>
    <row r="428" ht="14.25" customHeight="1">
      <c r="A428" s="27"/>
      <c r="B428" s="27"/>
      <c r="C428" s="9"/>
      <c r="D428" s="9"/>
      <c r="E428" s="38"/>
      <c r="F428" s="38"/>
    </row>
    <row r="429" ht="14.25" customHeight="1">
      <c r="A429" s="27"/>
      <c r="B429" s="27"/>
      <c r="C429" s="9"/>
      <c r="D429" s="9"/>
      <c r="E429" s="38"/>
      <c r="F429" s="38"/>
    </row>
    <row r="430" ht="14.25" customHeight="1">
      <c r="A430" s="27"/>
      <c r="B430" s="27"/>
      <c r="C430" s="9"/>
      <c r="D430" s="9"/>
      <c r="E430" s="38"/>
      <c r="F430" s="38"/>
    </row>
    <row r="431" ht="14.25" customHeight="1">
      <c r="A431" s="27"/>
      <c r="B431" s="27"/>
      <c r="C431" s="9"/>
      <c r="D431" s="9"/>
      <c r="E431" s="38"/>
      <c r="F431" s="38"/>
    </row>
    <row r="432" ht="14.25" customHeight="1">
      <c r="A432" s="27"/>
      <c r="B432" s="27"/>
      <c r="C432" s="9"/>
      <c r="D432" s="9"/>
      <c r="E432" s="38"/>
      <c r="F432" s="38"/>
    </row>
    <row r="433" ht="14.25" customHeight="1">
      <c r="A433" s="27"/>
      <c r="B433" s="27"/>
      <c r="C433" s="9"/>
      <c r="D433" s="9"/>
      <c r="E433" s="38"/>
      <c r="F433" s="38"/>
    </row>
    <row r="434" ht="14.25" customHeight="1">
      <c r="A434" s="27"/>
      <c r="B434" s="27"/>
      <c r="C434" s="9"/>
      <c r="D434" s="9"/>
      <c r="E434" s="38"/>
      <c r="F434" s="38"/>
    </row>
    <row r="435" ht="14.25" customHeight="1">
      <c r="A435" s="27"/>
      <c r="B435" s="27"/>
      <c r="C435" s="9"/>
      <c r="D435" s="9"/>
      <c r="E435" s="38"/>
      <c r="F435" s="38"/>
    </row>
    <row r="436" ht="14.25" customHeight="1">
      <c r="A436" s="27"/>
      <c r="B436" s="27"/>
      <c r="C436" s="9"/>
      <c r="D436" s="9"/>
      <c r="E436" s="38"/>
      <c r="F436" s="38"/>
    </row>
    <row r="437" ht="14.25" customHeight="1">
      <c r="A437" s="27"/>
      <c r="B437" s="27"/>
      <c r="C437" s="9"/>
      <c r="D437" s="9"/>
      <c r="E437" s="38"/>
      <c r="F437" s="38"/>
    </row>
    <row r="438" ht="14.25" customHeight="1">
      <c r="A438" s="27"/>
      <c r="B438" s="27"/>
      <c r="C438" s="9"/>
      <c r="D438" s="9"/>
      <c r="E438" s="38"/>
      <c r="F438" s="38"/>
    </row>
    <row r="439" ht="14.25" customHeight="1">
      <c r="A439" s="27"/>
      <c r="B439" s="27"/>
      <c r="C439" s="9"/>
      <c r="D439" s="9"/>
      <c r="E439" s="38"/>
      <c r="F439" s="38"/>
    </row>
    <row r="440" ht="14.25" customHeight="1">
      <c r="A440" s="27"/>
      <c r="B440" s="27"/>
      <c r="C440" s="9"/>
      <c r="D440" s="9"/>
      <c r="E440" s="38"/>
      <c r="F440" s="38"/>
    </row>
    <row r="441" ht="14.25" customHeight="1">
      <c r="A441" s="27"/>
      <c r="B441" s="27"/>
      <c r="C441" s="9"/>
      <c r="D441" s="9"/>
      <c r="E441" s="38"/>
      <c r="F441" s="38"/>
    </row>
    <row r="442" ht="14.25" customHeight="1">
      <c r="A442" s="27"/>
      <c r="B442" s="27"/>
      <c r="C442" s="9"/>
      <c r="D442" s="9"/>
      <c r="E442" s="38"/>
      <c r="F442" s="38"/>
    </row>
    <row r="443" ht="14.25" customHeight="1">
      <c r="A443" s="27"/>
      <c r="B443" s="27"/>
      <c r="C443" s="9"/>
      <c r="D443" s="9"/>
      <c r="E443" s="38"/>
      <c r="F443" s="38"/>
    </row>
    <row r="444" ht="14.25" customHeight="1">
      <c r="A444" s="27"/>
      <c r="B444" s="27"/>
      <c r="C444" s="9"/>
      <c r="D444" s="9"/>
      <c r="E444" s="38"/>
      <c r="F444" s="38"/>
    </row>
    <row r="445" ht="14.25" customHeight="1">
      <c r="A445" s="27"/>
      <c r="B445" s="27"/>
      <c r="C445" s="9"/>
      <c r="D445" s="9"/>
      <c r="E445" s="38"/>
      <c r="F445" s="38"/>
    </row>
    <row r="446" ht="14.25" customHeight="1">
      <c r="A446" s="27"/>
      <c r="B446" s="27"/>
      <c r="C446" s="9"/>
      <c r="D446" s="9"/>
      <c r="E446" s="38"/>
      <c r="F446" s="38"/>
    </row>
    <row r="447" ht="14.25" customHeight="1">
      <c r="A447" s="27"/>
      <c r="B447" s="27"/>
      <c r="C447" s="9"/>
      <c r="D447" s="9"/>
      <c r="E447" s="38"/>
      <c r="F447" s="38"/>
    </row>
    <row r="448" ht="14.25" customHeight="1">
      <c r="A448" s="27"/>
      <c r="B448" s="27"/>
      <c r="C448" s="9"/>
      <c r="D448" s="9"/>
      <c r="E448" s="38"/>
      <c r="F448" s="38"/>
    </row>
    <row r="449" ht="14.25" customHeight="1">
      <c r="A449" s="27"/>
      <c r="B449" s="27"/>
      <c r="C449" s="9"/>
      <c r="D449" s="9"/>
      <c r="E449" s="38"/>
      <c r="F449" s="38"/>
    </row>
    <row r="450" ht="14.25" customHeight="1">
      <c r="A450" s="27"/>
      <c r="B450" s="27"/>
      <c r="C450" s="9"/>
      <c r="D450" s="9"/>
      <c r="E450" s="38"/>
      <c r="F450" s="38"/>
    </row>
    <row r="451" ht="14.25" customHeight="1">
      <c r="A451" s="27"/>
      <c r="B451" s="27"/>
      <c r="C451" s="9"/>
      <c r="D451" s="9"/>
      <c r="E451" s="38"/>
      <c r="F451" s="38"/>
    </row>
    <row r="452" ht="14.25" customHeight="1">
      <c r="A452" s="27"/>
      <c r="B452" s="27"/>
      <c r="C452" s="9"/>
      <c r="D452" s="9"/>
      <c r="E452" s="38"/>
      <c r="F452" s="38"/>
    </row>
    <row r="453" ht="14.25" customHeight="1">
      <c r="A453" s="27"/>
      <c r="B453" s="27"/>
      <c r="C453" s="9"/>
      <c r="D453" s="9"/>
      <c r="E453" s="38"/>
      <c r="F453" s="38"/>
    </row>
    <row r="454" ht="14.25" customHeight="1">
      <c r="A454" s="27"/>
      <c r="B454" s="27"/>
      <c r="C454" s="9"/>
      <c r="D454" s="9"/>
      <c r="E454" s="38"/>
      <c r="F454" s="38"/>
    </row>
    <row r="455" ht="14.25" customHeight="1">
      <c r="A455" s="27"/>
      <c r="B455" s="27"/>
      <c r="C455" s="9"/>
      <c r="D455" s="9"/>
      <c r="E455" s="38"/>
      <c r="F455" s="38"/>
    </row>
    <row r="456" ht="14.25" customHeight="1">
      <c r="A456" s="27"/>
      <c r="B456" s="27"/>
      <c r="C456" s="9"/>
      <c r="D456" s="9"/>
      <c r="E456" s="38"/>
      <c r="F456" s="38"/>
    </row>
    <row r="457" ht="14.25" customHeight="1">
      <c r="A457" s="27"/>
      <c r="B457" s="27"/>
      <c r="C457" s="9"/>
      <c r="D457" s="9"/>
      <c r="E457" s="38"/>
      <c r="F457" s="38"/>
    </row>
    <row r="458" ht="14.25" customHeight="1">
      <c r="A458" s="27"/>
      <c r="B458" s="27"/>
      <c r="C458" s="9"/>
      <c r="D458" s="9"/>
      <c r="E458" s="38"/>
      <c r="F458" s="38"/>
    </row>
    <row r="459" ht="14.25" customHeight="1">
      <c r="A459" s="27"/>
      <c r="B459" s="27"/>
      <c r="C459" s="9"/>
      <c r="D459" s="9"/>
      <c r="E459" s="38"/>
      <c r="F459" s="38"/>
    </row>
    <row r="460" ht="14.25" customHeight="1">
      <c r="A460" s="27"/>
      <c r="B460" s="27"/>
      <c r="C460" s="9"/>
      <c r="D460" s="9"/>
      <c r="E460" s="38"/>
      <c r="F460" s="38"/>
    </row>
    <row r="461" ht="14.25" customHeight="1">
      <c r="A461" s="27"/>
      <c r="B461" s="27"/>
      <c r="C461" s="9"/>
      <c r="D461" s="9"/>
      <c r="E461" s="38"/>
      <c r="F461" s="38"/>
    </row>
    <row r="462" ht="14.25" customHeight="1">
      <c r="A462" s="27"/>
      <c r="B462" s="27"/>
      <c r="C462" s="9"/>
      <c r="D462" s="9"/>
      <c r="E462" s="38"/>
      <c r="F462" s="38"/>
    </row>
    <row r="463" ht="14.25" customHeight="1">
      <c r="A463" s="27"/>
      <c r="B463" s="27"/>
      <c r="C463" s="9"/>
      <c r="D463" s="9"/>
      <c r="E463" s="38"/>
      <c r="F463" s="38"/>
    </row>
    <row r="464" ht="14.25" customHeight="1">
      <c r="A464" s="27"/>
      <c r="B464" s="27"/>
      <c r="C464" s="9"/>
      <c r="D464" s="9"/>
      <c r="E464" s="38"/>
      <c r="F464" s="38"/>
    </row>
    <row r="465" ht="14.25" customHeight="1">
      <c r="A465" s="27"/>
      <c r="B465" s="27"/>
      <c r="C465" s="9"/>
      <c r="D465" s="9"/>
      <c r="E465" s="38"/>
      <c r="F465" s="38"/>
    </row>
    <row r="466" ht="14.25" customHeight="1">
      <c r="A466" s="27"/>
      <c r="B466" s="27"/>
      <c r="C466" s="9"/>
      <c r="D466" s="9"/>
      <c r="E466" s="38"/>
      <c r="F466" s="38"/>
    </row>
    <row r="467" ht="14.25" customHeight="1">
      <c r="A467" s="27"/>
      <c r="B467" s="27"/>
      <c r="C467" s="9"/>
      <c r="D467" s="9"/>
      <c r="E467" s="38"/>
      <c r="F467" s="38"/>
    </row>
    <row r="468" ht="14.25" customHeight="1">
      <c r="A468" s="27"/>
      <c r="B468" s="27"/>
      <c r="C468" s="9"/>
      <c r="D468" s="9"/>
      <c r="E468" s="38"/>
      <c r="F468" s="38"/>
    </row>
    <row r="469" ht="14.25" customHeight="1">
      <c r="A469" s="27"/>
      <c r="B469" s="27"/>
      <c r="C469" s="9"/>
      <c r="D469" s="9"/>
      <c r="E469" s="38"/>
      <c r="F469" s="38"/>
    </row>
    <row r="470" ht="14.25" customHeight="1">
      <c r="A470" s="27"/>
      <c r="B470" s="27"/>
      <c r="C470" s="9"/>
      <c r="D470" s="9"/>
      <c r="E470" s="38"/>
      <c r="F470" s="38"/>
    </row>
    <row r="471" ht="14.25" customHeight="1">
      <c r="A471" s="27"/>
      <c r="B471" s="27"/>
      <c r="C471" s="9"/>
      <c r="D471" s="9"/>
      <c r="E471" s="38"/>
      <c r="F471" s="38"/>
    </row>
    <row r="472" ht="14.25" customHeight="1">
      <c r="A472" s="27"/>
      <c r="B472" s="27"/>
      <c r="C472" s="9"/>
      <c r="D472" s="9"/>
      <c r="E472" s="38"/>
      <c r="F472" s="38"/>
    </row>
    <row r="473" ht="14.25" customHeight="1">
      <c r="A473" s="27"/>
      <c r="B473" s="27"/>
      <c r="C473" s="9"/>
      <c r="D473" s="9"/>
      <c r="E473" s="38"/>
      <c r="F473" s="38"/>
    </row>
    <row r="474" ht="14.25" customHeight="1">
      <c r="A474" s="27"/>
      <c r="B474" s="27"/>
      <c r="C474" s="9"/>
      <c r="D474" s="9"/>
      <c r="E474" s="38"/>
      <c r="F474" s="38"/>
    </row>
    <row r="475" ht="14.25" customHeight="1">
      <c r="A475" s="27"/>
      <c r="B475" s="27"/>
      <c r="C475" s="9"/>
      <c r="D475" s="9"/>
      <c r="E475" s="38"/>
      <c r="F475" s="38"/>
    </row>
    <row r="476" ht="14.25" customHeight="1">
      <c r="A476" s="27"/>
      <c r="B476" s="27"/>
      <c r="C476" s="9"/>
      <c r="D476" s="9"/>
      <c r="E476" s="38"/>
      <c r="F476" s="38"/>
    </row>
    <row r="477" ht="14.25" customHeight="1">
      <c r="A477" s="27"/>
      <c r="B477" s="27"/>
      <c r="C477" s="9"/>
      <c r="D477" s="9"/>
      <c r="E477" s="38"/>
      <c r="F477" s="38"/>
    </row>
    <row r="478" ht="14.25" customHeight="1">
      <c r="A478" s="27"/>
      <c r="B478" s="27"/>
      <c r="C478" s="9"/>
      <c r="D478" s="9"/>
      <c r="E478" s="38"/>
      <c r="F478" s="38"/>
    </row>
    <row r="479" ht="14.25" customHeight="1">
      <c r="A479" s="27"/>
      <c r="B479" s="27"/>
      <c r="C479" s="9"/>
      <c r="D479" s="9"/>
      <c r="E479" s="38"/>
      <c r="F479" s="38"/>
    </row>
    <row r="480" ht="14.25" customHeight="1">
      <c r="A480" s="27"/>
      <c r="B480" s="27"/>
      <c r="C480" s="9"/>
      <c r="D480" s="9"/>
      <c r="E480" s="38"/>
      <c r="F480" s="38"/>
    </row>
    <row r="481" ht="14.25" customHeight="1">
      <c r="A481" s="27"/>
      <c r="B481" s="27"/>
      <c r="C481" s="9"/>
      <c r="D481" s="9"/>
      <c r="E481" s="38"/>
      <c r="F481" s="38"/>
    </row>
    <row r="482" ht="14.25" customHeight="1">
      <c r="A482" s="27"/>
      <c r="B482" s="27"/>
      <c r="C482" s="9"/>
      <c r="D482" s="9"/>
      <c r="E482" s="38"/>
      <c r="F482" s="38"/>
    </row>
    <row r="483" ht="14.25" customHeight="1">
      <c r="A483" s="27"/>
      <c r="B483" s="27"/>
      <c r="C483" s="9"/>
      <c r="D483" s="9"/>
      <c r="E483" s="38"/>
      <c r="F483" s="38"/>
    </row>
    <row r="484" ht="14.25" customHeight="1">
      <c r="A484" s="27"/>
      <c r="B484" s="27"/>
      <c r="C484" s="9"/>
      <c r="D484" s="9"/>
      <c r="E484" s="38"/>
      <c r="F484" s="38"/>
    </row>
    <row r="485" ht="14.25" customHeight="1">
      <c r="A485" s="27"/>
      <c r="B485" s="27"/>
      <c r="C485" s="9"/>
      <c r="D485" s="9"/>
      <c r="E485" s="38"/>
      <c r="F485" s="38"/>
    </row>
    <row r="486" ht="14.25" customHeight="1">
      <c r="A486" s="27"/>
      <c r="B486" s="27"/>
      <c r="C486" s="9"/>
      <c r="D486" s="9"/>
      <c r="E486" s="38"/>
      <c r="F486" s="38"/>
    </row>
    <row r="487" ht="14.25" customHeight="1">
      <c r="A487" s="27"/>
      <c r="B487" s="27"/>
      <c r="C487" s="9"/>
      <c r="D487" s="9"/>
      <c r="E487" s="38"/>
      <c r="F487" s="38"/>
    </row>
    <row r="488" ht="14.25" customHeight="1">
      <c r="A488" s="27"/>
      <c r="B488" s="27"/>
      <c r="C488" s="9"/>
      <c r="D488" s="9"/>
      <c r="E488" s="38"/>
      <c r="F488" s="38"/>
    </row>
    <row r="489" ht="14.25" customHeight="1">
      <c r="A489" s="27"/>
      <c r="B489" s="27"/>
      <c r="C489" s="9"/>
      <c r="D489" s="9"/>
      <c r="E489" s="38"/>
      <c r="F489" s="38"/>
    </row>
    <row r="490" ht="14.25" customHeight="1">
      <c r="A490" s="27"/>
      <c r="B490" s="27"/>
      <c r="C490" s="9"/>
      <c r="D490" s="9"/>
      <c r="E490" s="38"/>
      <c r="F490" s="38"/>
    </row>
    <row r="491" ht="14.25" customHeight="1">
      <c r="A491" s="27"/>
      <c r="B491" s="27"/>
      <c r="C491" s="9"/>
      <c r="D491" s="9"/>
      <c r="E491" s="38"/>
      <c r="F491" s="38"/>
    </row>
    <row r="492" ht="14.25" customHeight="1">
      <c r="A492" s="27"/>
      <c r="B492" s="27"/>
      <c r="C492" s="9"/>
      <c r="D492" s="9"/>
      <c r="E492" s="38"/>
      <c r="F492" s="38"/>
    </row>
    <row r="493" ht="14.25" customHeight="1">
      <c r="A493" s="27"/>
      <c r="B493" s="27"/>
      <c r="C493" s="9"/>
      <c r="D493" s="9"/>
      <c r="E493" s="38"/>
      <c r="F493" s="38"/>
    </row>
    <row r="494" ht="14.25" customHeight="1">
      <c r="A494" s="27"/>
      <c r="B494" s="27"/>
      <c r="C494" s="9"/>
      <c r="D494" s="9"/>
      <c r="E494" s="38"/>
      <c r="F494" s="38"/>
    </row>
    <row r="495" ht="14.25" customHeight="1">
      <c r="A495" s="27"/>
      <c r="B495" s="27"/>
      <c r="C495" s="9"/>
      <c r="D495" s="9"/>
      <c r="E495" s="38"/>
      <c r="F495" s="38"/>
    </row>
    <row r="496" ht="14.25" customHeight="1">
      <c r="A496" s="27"/>
      <c r="B496" s="27"/>
      <c r="C496" s="9"/>
      <c r="D496" s="9"/>
      <c r="E496" s="38"/>
      <c r="F496" s="38"/>
    </row>
    <row r="497" ht="14.25" customHeight="1">
      <c r="A497" s="27"/>
      <c r="B497" s="27"/>
      <c r="C497" s="9"/>
      <c r="D497" s="9"/>
      <c r="E497" s="38"/>
      <c r="F497" s="38"/>
    </row>
    <row r="498" ht="14.25" customHeight="1">
      <c r="A498" s="27"/>
      <c r="B498" s="27"/>
      <c r="C498" s="9"/>
      <c r="D498" s="9"/>
      <c r="E498" s="38"/>
      <c r="F498" s="38"/>
    </row>
    <row r="499" ht="14.25" customHeight="1">
      <c r="A499" s="27"/>
      <c r="B499" s="27"/>
      <c r="C499" s="9"/>
      <c r="D499" s="9"/>
      <c r="E499" s="38"/>
      <c r="F499" s="38"/>
    </row>
    <row r="500" ht="14.25" customHeight="1">
      <c r="A500" s="27"/>
      <c r="B500" s="27"/>
      <c r="C500" s="9"/>
      <c r="D500" s="9"/>
      <c r="E500" s="38"/>
      <c r="F500" s="38"/>
    </row>
    <row r="501" ht="14.25" customHeight="1">
      <c r="A501" s="27"/>
      <c r="B501" s="27"/>
      <c r="C501" s="9"/>
      <c r="D501" s="9"/>
      <c r="E501" s="38"/>
      <c r="F501" s="38"/>
    </row>
    <row r="502" ht="14.25" customHeight="1">
      <c r="A502" s="27"/>
      <c r="B502" s="27"/>
      <c r="C502" s="9"/>
      <c r="D502" s="9"/>
      <c r="E502" s="38"/>
      <c r="F502" s="38"/>
    </row>
    <row r="503" ht="14.25" customHeight="1">
      <c r="A503" s="27"/>
      <c r="B503" s="27"/>
      <c r="C503" s="9"/>
      <c r="D503" s="9"/>
      <c r="E503" s="38"/>
      <c r="F503" s="38"/>
    </row>
    <row r="504" ht="14.25" customHeight="1">
      <c r="A504" s="27"/>
      <c r="B504" s="27"/>
      <c r="C504" s="9"/>
      <c r="D504" s="9"/>
      <c r="E504" s="38"/>
      <c r="F504" s="38"/>
    </row>
    <row r="505" ht="14.25" customHeight="1">
      <c r="A505" s="27"/>
      <c r="B505" s="27"/>
      <c r="C505" s="9"/>
      <c r="D505" s="9"/>
      <c r="E505" s="38"/>
      <c r="F505" s="38"/>
    </row>
    <row r="506" ht="14.25" customHeight="1">
      <c r="A506" s="27"/>
      <c r="B506" s="27"/>
      <c r="C506" s="9"/>
      <c r="D506" s="9"/>
      <c r="E506" s="38"/>
      <c r="F506" s="38"/>
    </row>
    <row r="507" ht="14.25" customHeight="1">
      <c r="A507" s="27"/>
      <c r="B507" s="27"/>
      <c r="C507" s="9"/>
      <c r="D507" s="9"/>
      <c r="E507" s="38"/>
      <c r="F507" s="38"/>
    </row>
    <row r="508" ht="14.25" customHeight="1">
      <c r="A508" s="27"/>
      <c r="B508" s="27"/>
      <c r="C508" s="9"/>
      <c r="D508" s="9"/>
      <c r="E508" s="38"/>
      <c r="F508" s="38"/>
    </row>
    <row r="509" ht="14.25" customHeight="1">
      <c r="A509" s="27"/>
      <c r="B509" s="27"/>
      <c r="C509" s="9"/>
      <c r="D509" s="9"/>
      <c r="E509" s="38"/>
      <c r="F509" s="38"/>
    </row>
    <row r="510" ht="14.25" customHeight="1">
      <c r="A510" s="27"/>
      <c r="B510" s="27"/>
      <c r="C510" s="9"/>
      <c r="D510" s="9"/>
      <c r="E510" s="38"/>
      <c r="F510" s="38"/>
    </row>
    <row r="511" ht="14.25" customHeight="1">
      <c r="A511" s="27"/>
      <c r="B511" s="27"/>
      <c r="C511" s="9"/>
      <c r="D511" s="9"/>
      <c r="E511" s="38"/>
      <c r="F511" s="38"/>
    </row>
    <row r="512" ht="14.25" customHeight="1">
      <c r="A512" s="27"/>
      <c r="B512" s="27"/>
      <c r="C512" s="9"/>
      <c r="D512" s="9"/>
      <c r="E512" s="38"/>
      <c r="F512" s="38"/>
    </row>
    <row r="513" ht="14.25" customHeight="1">
      <c r="A513" s="27"/>
      <c r="B513" s="27"/>
      <c r="C513" s="9"/>
      <c r="D513" s="9"/>
      <c r="E513" s="38"/>
      <c r="F513" s="38"/>
    </row>
    <row r="514" ht="14.25" customHeight="1">
      <c r="A514" s="27"/>
      <c r="B514" s="27"/>
      <c r="C514" s="9"/>
      <c r="D514" s="9"/>
      <c r="E514" s="38"/>
      <c r="F514" s="38"/>
    </row>
    <row r="515" ht="14.25" customHeight="1">
      <c r="A515" s="27"/>
      <c r="B515" s="27"/>
      <c r="C515" s="9"/>
      <c r="D515" s="9"/>
      <c r="E515" s="38"/>
      <c r="F515" s="38"/>
    </row>
    <row r="516" ht="14.25" customHeight="1">
      <c r="A516" s="27"/>
      <c r="B516" s="27"/>
      <c r="C516" s="9"/>
      <c r="D516" s="9"/>
      <c r="E516" s="38"/>
      <c r="F516" s="38"/>
    </row>
    <row r="517" ht="14.25" customHeight="1">
      <c r="A517" s="27"/>
      <c r="B517" s="27"/>
      <c r="C517" s="9"/>
      <c r="D517" s="9"/>
      <c r="E517" s="38"/>
      <c r="F517" s="38"/>
    </row>
    <row r="518" ht="14.25" customHeight="1">
      <c r="A518" s="27"/>
      <c r="B518" s="27"/>
      <c r="C518" s="9"/>
      <c r="D518" s="9"/>
      <c r="E518" s="38"/>
      <c r="F518" s="38"/>
    </row>
    <row r="519" ht="14.25" customHeight="1">
      <c r="A519" s="27"/>
      <c r="B519" s="27"/>
      <c r="C519" s="9"/>
      <c r="D519" s="9"/>
      <c r="E519" s="38"/>
      <c r="F519" s="38"/>
    </row>
    <row r="520" ht="14.25" customHeight="1">
      <c r="A520" s="27"/>
      <c r="B520" s="27"/>
      <c r="C520" s="9"/>
      <c r="D520" s="9"/>
      <c r="E520" s="38"/>
      <c r="F520" s="38"/>
    </row>
    <row r="521" ht="14.25" customHeight="1">
      <c r="A521" s="27"/>
      <c r="B521" s="27"/>
      <c r="C521" s="9"/>
      <c r="D521" s="9"/>
      <c r="E521" s="38"/>
      <c r="F521" s="38"/>
    </row>
    <row r="522" ht="14.25" customHeight="1">
      <c r="A522" s="27"/>
      <c r="B522" s="27"/>
      <c r="C522" s="9"/>
      <c r="D522" s="9"/>
      <c r="E522" s="38"/>
      <c r="F522" s="38"/>
    </row>
    <row r="523" ht="14.25" customHeight="1">
      <c r="A523" s="27"/>
      <c r="B523" s="27"/>
      <c r="C523" s="9"/>
      <c r="D523" s="9"/>
      <c r="E523" s="38"/>
      <c r="F523" s="38"/>
    </row>
    <row r="524" ht="14.25" customHeight="1">
      <c r="A524" s="27"/>
      <c r="B524" s="27"/>
      <c r="C524" s="9"/>
      <c r="D524" s="9"/>
      <c r="E524" s="38"/>
      <c r="F524" s="38"/>
    </row>
    <row r="525" ht="14.25" customHeight="1">
      <c r="A525" s="27"/>
      <c r="B525" s="27"/>
      <c r="C525" s="9"/>
      <c r="D525" s="9"/>
      <c r="E525" s="38"/>
      <c r="F525" s="38"/>
    </row>
    <row r="526" ht="14.25" customHeight="1">
      <c r="A526" s="27"/>
      <c r="B526" s="27"/>
      <c r="C526" s="9"/>
      <c r="D526" s="9"/>
      <c r="E526" s="38"/>
      <c r="F526" s="38"/>
    </row>
    <row r="527" ht="14.25" customHeight="1">
      <c r="A527" s="27"/>
      <c r="B527" s="27"/>
      <c r="C527" s="9"/>
      <c r="D527" s="9"/>
      <c r="E527" s="38"/>
      <c r="F527" s="38"/>
    </row>
    <row r="528" ht="14.25" customHeight="1">
      <c r="A528" s="27"/>
      <c r="B528" s="27"/>
      <c r="C528" s="9"/>
      <c r="D528" s="9"/>
      <c r="E528" s="38"/>
      <c r="F528" s="38"/>
    </row>
    <row r="529" ht="14.25" customHeight="1">
      <c r="A529" s="27"/>
      <c r="B529" s="27"/>
      <c r="C529" s="9"/>
      <c r="D529" s="9"/>
      <c r="E529" s="38"/>
      <c r="F529" s="38"/>
    </row>
    <row r="530" ht="14.25" customHeight="1">
      <c r="A530" s="27"/>
      <c r="B530" s="27"/>
      <c r="C530" s="9"/>
      <c r="D530" s="9"/>
      <c r="E530" s="38"/>
      <c r="F530" s="38"/>
    </row>
    <row r="531" ht="14.25" customHeight="1">
      <c r="A531" s="27"/>
      <c r="B531" s="27"/>
      <c r="C531" s="9"/>
      <c r="D531" s="9"/>
      <c r="E531" s="38"/>
      <c r="F531" s="38"/>
    </row>
    <row r="532" ht="14.25" customHeight="1">
      <c r="A532" s="27"/>
      <c r="B532" s="27"/>
      <c r="C532" s="9"/>
      <c r="D532" s="9"/>
      <c r="E532" s="38"/>
      <c r="F532" s="38"/>
    </row>
    <row r="533" ht="14.25" customHeight="1">
      <c r="A533" s="27"/>
      <c r="B533" s="27"/>
      <c r="C533" s="9"/>
      <c r="D533" s="9"/>
      <c r="E533" s="38"/>
      <c r="F533" s="38"/>
    </row>
    <row r="534" ht="14.25" customHeight="1">
      <c r="A534" s="27"/>
      <c r="B534" s="27"/>
      <c r="C534" s="9"/>
      <c r="D534" s="9"/>
      <c r="E534" s="38"/>
      <c r="F534" s="38"/>
    </row>
    <row r="535" ht="14.25" customHeight="1">
      <c r="A535" s="27"/>
      <c r="B535" s="27"/>
      <c r="C535" s="9"/>
      <c r="D535" s="9"/>
      <c r="E535" s="38"/>
      <c r="F535" s="38"/>
    </row>
    <row r="536" ht="14.25" customHeight="1">
      <c r="A536" s="27"/>
      <c r="B536" s="27"/>
      <c r="C536" s="9"/>
      <c r="D536" s="9"/>
      <c r="E536" s="38"/>
      <c r="F536" s="38"/>
    </row>
    <row r="537" ht="14.25" customHeight="1">
      <c r="A537" s="27"/>
      <c r="B537" s="27"/>
      <c r="C537" s="9"/>
      <c r="D537" s="9"/>
      <c r="E537" s="38"/>
      <c r="F537" s="38"/>
    </row>
    <row r="538" ht="14.25" customHeight="1">
      <c r="A538" s="27"/>
      <c r="B538" s="27"/>
      <c r="C538" s="9"/>
      <c r="D538" s="9"/>
      <c r="E538" s="38"/>
      <c r="F538" s="38"/>
    </row>
    <row r="539" ht="14.25" customHeight="1">
      <c r="A539" s="27"/>
      <c r="B539" s="27"/>
      <c r="C539" s="9"/>
      <c r="D539" s="9"/>
      <c r="E539" s="38"/>
      <c r="F539" s="38"/>
    </row>
    <row r="540" ht="14.25" customHeight="1">
      <c r="A540" s="27"/>
      <c r="B540" s="27"/>
      <c r="C540" s="9"/>
      <c r="D540" s="9"/>
      <c r="E540" s="38"/>
      <c r="F540" s="38"/>
    </row>
    <row r="541" ht="14.25" customHeight="1">
      <c r="A541" s="27"/>
      <c r="B541" s="27"/>
      <c r="C541" s="9"/>
      <c r="D541" s="9"/>
      <c r="E541" s="38"/>
      <c r="F541" s="38"/>
    </row>
    <row r="542" ht="14.25" customHeight="1">
      <c r="A542" s="27"/>
      <c r="B542" s="27"/>
      <c r="C542" s="9"/>
      <c r="D542" s="9"/>
      <c r="E542" s="38"/>
      <c r="F542" s="38"/>
    </row>
    <row r="543" ht="14.25" customHeight="1">
      <c r="A543" s="27"/>
      <c r="B543" s="27"/>
      <c r="C543" s="9"/>
      <c r="D543" s="9"/>
      <c r="E543" s="38"/>
      <c r="F543" s="38"/>
    </row>
    <row r="544" ht="14.25" customHeight="1">
      <c r="A544" s="27"/>
      <c r="B544" s="27"/>
      <c r="C544" s="9"/>
      <c r="D544" s="9"/>
      <c r="E544" s="38"/>
      <c r="F544" s="38"/>
    </row>
    <row r="545" ht="14.25" customHeight="1">
      <c r="A545" s="27"/>
      <c r="B545" s="27"/>
      <c r="C545" s="9"/>
      <c r="D545" s="9"/>
      <c r="E545" s="38"/>
      <c r="F545" s="38"/>
    </row>
    <row r="546" ht="14.25" customHeight="1">
      <c r="A546" s="27"/>
      <c r="B546" s="27"/>
      <c r="C546" s="9"/>
      <c r="D546" s="9"/>
      <c r="E546" s="38"/>
      <c r="F546" s="38"/>
    </row>
    <row r="547" ht="14.25" customHeight="1">
      <c r="A547" s="27"/>
      <c r="B547" s="27"/>
      <c r="C547" s="9"/>
      <c r="D547" s="9"/>
      <c r="E547" s="38"/>
      <c r="F547" s="38"/>
    </row>
    <row r="548" ht="14.25" customHeight="1">
      <c r="A548" s="27"/>
      <c r="B548" s="27"/>
      <c r="C548" s="9"/>
      <c r="D548" s="9"/>
      <c r="E548" s="38"/>
      <c r="F548" s="38"/>
    </row>
    <row r="549" ht="14.25" customHeight="1">
      <c r="A549" s="27"/>
      <c r="B549" s="27"/>
      <c r="C549" s="9"/>
      <c r="D549" s="9"/>
      <c r="E549" s="38"/>
      <c r="F549" s="38"/>
    </row>
    <row r="550" ht="14.25" customHeight="1">
      <c r="A550" s="27"/>
      <c r="B550" s="27"/>
      <c r="C550" s="9"/>
      <c r="D550" s="9"/>
      <c r="E550" s="38"/>
      <c r="F550" s="38"/>
    </row>
    <row r="551" ht="14.25" customHeight="1">
      <c r="A551" s="27"/>
      <c r="B551" s="27"/>
      <c r="C551" s="9"/>
      <c r="D551" s="9"/>
      <c r="E551" s="38"/>
      <c r="F551" s="38"/>
    </row>
    <row r="552" ht="14.25" customHeight="1">
      <c r="A552" s="27"/>
      <c r="B552" s="27"/>
      <c r="C552" s="9"/>
      <c r="D552" s="9"/>
      <c r="E552" s="38"/>
      <c r="F552" s="38"/>
    </row>
    <row r="553" ht="14.25" customHeight="1">
      <c r="A553" s="27"/>
      <c r="B553" s="27"/>
      <c r="C553" s="9"/>
      <c r="D553" s="9"/>
      <c r="E553" s="38"/>
      <c r="F553" s="38"/>
    </row>
    <row r="554" ht="14.25" customHeight="1">
      <c r="A554" s="27"/>
      <c r="B554" s="27"/>
      <c r="C554" s="9"/>
      <c r="D554" s="9"/>
      <c r="E554" s="38"/>
      <c r="F554" s="38"/>
    </row>
    <row r="555" ht="14.25" customHeight="1">
      <c r="A555" s="27"/>
      <c r="B555" s="27"/>
      <c r="C555" s="9"/>
      <c r="D555" s="9"/>
      <c r="E555" s="38"/>
      <c r="F555" s="38"/>
    </row>
    <row r="556" ht="14.25" customHeight="1">
      <c r="A556" s="27"/>
      <c r="B556" s="27"/>
      <c r="C556" s="9"/>
      <c r="D556" s="9"/>
      <c r="E556" s="38"/>
      <c r="F556" s="38"/>
    </row>
    <row r="557" ht="14.25" customHeight="1">
      <c r="A557" s="27"/>
      <c r="B557" s="27"/>
      <c r="C557" s="9"/>
      <c r="D557" s="9"/>
      <c r="E557" s="38"/>
      <c r="F557" s="38"/>
    </row>
    <row r="558" ht="14.25" customHeight="1">
      <c r="A558" s="27"/>
      <c r="B558" s="27"/>
      <c r="C558" s="9"/>
      <c r="D558" s="9"/>
      <c r="E558" s="38"/>
      <c r="F558" s="38"/>
    </row>
    <row r="559" ht="14.25" customHeight="1">
      <c r="A559" s="27"/>
      <c r="B559" s="27"/>
      <c r="C559" s="9"/>
      <c r="D559" s="9"/>
      <c r="E559" s="38"/>
      <c r="F559" s="38"/>
    </row>
    <row r="560" ht="14.25" customHeight="1">
      <c r="A560" s="27"/>
      <c r="B560" s="27"/>
      <c r="C560" s="9"/>
      <c r="D560" s="9"/>
      <c r="E560" s="38"/>
      <c r="F560" s="38"/>
    </row>
    <row r="561" ht="14.25" customHeight="1">
      <c r="A561" s="27"/>
      <c r="B561" s="27"/>
      <c r="C561" s="9"/>
      <c r="D561" s="9"/>
      <c r="E561" s="38"/>
      <c r="F561" s="38"/>
    </row>
    <row r="562" ht="14.25" customHeight="1">
      <c r="A562" s="27"/>
      <c r="B562" s="27"/>
      <c r="C562" s="9"/>
      <c r="D562" s="9"/>
      <c r="E562" s="38"/>
      <c r="F562" s="38"/>
    </row>
    <row r="563" ht="14.25" customHeight="1">
      <c r="A563" s="27"/>
      <c r="B563" s="27"/>
      <c r="C563" s="9"/>
      <c r="D563" s="9"/>
      <c r="E563" s="38"/>
      <c r="F563" s="38"/>
    </row>
    <row r="564" ht="14.25" customHeight="1">
      <c r="A564" s="27"/>
      <c r="B564" s="27"/>
      <c r="C564" s="9"/>
      <c r="D564" s="9"/>
      <c r="E564" s="38"/>
      <c r="F564" s="38"/>
    </row>
    <row r="565" ht="14.25" customHeight="1">
      <c r="A565" s="27"/>
      <c r="B565" s="27"/>
      <c r="C565" s="9"/>
      <c r="D565" s="9"/>
      <c r="E565" s="38"/>
      <c r="F565" s="38"/>
    </row>
    <row r="566" ht="14.25" customHeight="1">
      <c r="A566" s="27"/>
      <c r="B566" s="27"/>
      <c r="C566" s="9"/>
      <c r="D566" s="9"/>
      <c r="E566" s="38"/>
      <c r="F566" s="38"/>
    </row>
    <row r="567" ht="14.25" customHeight="1">
      <c r="A567" s="27"/>
      <c r="B567" s="27"/>
      <c r="C567" s="9"/>
      <c r="D567" s="9"/>
      <c r="E567" s="38"/>
      <c r="F567" s="38"/>
    </row>
    <row r="568" ht="14.25" customHeight="1">
      <c r="A568" s="27"/>
      <c r="B568" s="27"/>
      <c r="C568" s="9"/>
      <c r="D568" s="9"/>
      <c r="E568" s="38"/>
      <c r="F568" s="38"/>
    </row>
    <row r="569" ht="14.25" customHeight="1">
      <c r="A569" s="27"/>
      <c r="B569" s="27"/>
      <c r="C569" s="9"/>
      <c r="D569" s="9"/>
      <c r="E569" s="38"/>
      <c r="F569" s="38"/>
    </row>
    <row r="570" ht="14.25" customHeight="1">
      <c r="A570" s="27"/>
      <c r="B570" s="27"/>
      <c r="C570" s="9"/>
      <c r="D570" s="9"/>
      <c r="E570" s="38"/>
      <c r="F570" s="38"/>
    </row>
    <row r="571" ht="14.25" customHeight="1">
      <c r="A571" s="27"/>
      <c r="B571" s="27"/>
      <c r="C571" s="9"/>
      <c r="D571" s="9"/>
      <c r="E571" s="38"/>
      <c r="F571" s="38"/>
    </row>
    <row r="572" ht="14.25" customHeight="1">
      <c r="A572" s="27"/>
      <c r="B572" s="27"/>
      <c r="C572" s="9"/>
      <c r="D572" s="9"/>
      <c r="E572" s="38"/>
      <c r="F572" s="38"/>
    </row>
    <row r="573" ht="14.25" customHeight="1">
      <c r="A573" s="27"/>
      <c r="B573" s="27"/>
      <c r="C573" s="9"/>
      <c r="D573" s="9"/>
      <c r="E573" s="38"/>
      <c r="F573" s="38"/>
    </row>
    <row r="574" ht="14.25" customHeight="1">
      <c r="A574" s="27"/>
      <c r="B574" s="27"/>
      <c r="C574" s="9"/>
      <c r="D574" s="9"/>
      <c r="E574" s="38"/>
      <c r="F574" s="38"/>
    </row>
    <row r="575" ht="14.25" customHeight="1">
      <c r="A575" s="27"/>
      <c r="B575" s="27"/>
      <c r="C575" s="9"/>
      <c r="D575" s="9"/>
      <c r="E575" s="38"/>
      <c r="F575" s="38"/>
    </row>
    <row r="576" ht="14.25" customHeight="1">
      <c r="A576" s="27"/>
      <c r="B576" s="27"/>
      <c r="C576" s="9"/>
      <c r="D576" s="9"/>
      <c r="E576" s="38"/>
      <c r="F576" s="38"/>
    </row>
    <row r="577" ht="14.25" customHeight="1">
      <c r="A577" s="27"/>
      <c r="B577" s="27"/>
      <c r="C577" s="9"/>
      <c r="D577" s="9"/>
      <c r="E577" s="38"/>
      <c r="F577" s="38"/>
    </row>
    <row r="578" ht="14.25" customHeight="1">
      <c r="A578" s="27"/>
      <c r="B578" s="27"/>
      <c r="C578" s="9"/>
      <c r="D578" s="9"/>
      <c r="E578" s="38"/>
      <c r="F578" s="38"/>
    </row>
    <row r="579" ht="14.25" customHeight="1">
      <c r="A579" s="27"/>
      <c r="B579" s="27"/>
      <c r="C579" s="9"/>
      <c r="D579" s="9"/>
      <c r="E579" s="38"/>
      <c r="F579" s="38"/>
    </row>
    <row r="580" ht="14.25" customHeight="1">
      <c r="A580" s="27"/>
      <c r="B580" s="27"/>
      <c r="C580" s="9"/>
      <c r="D580" s="9"/>
      <c r="E580" s="38"/>
      <c r="F580" s="38"/>
    </row>
    <row r="581" ht="14.25" customHeight="1">
      <c r="A581" s="27"/>
      <c r="B581" s="27"/>
      <c r="C581" s="9"/>
      <c r="D581" s="9"/>
      <c r="E581" s="38"/>
      <c r="F581" s="38"/>
    </row>
    <row r="582" ht="14.25" customHeight="1">
      <c r="A582" s="27"/>
      <c r="B582" s="27"/>
      <c r="C582" s="9"/>
      <c r="D582" s="9"/>
      <c r="E582" s="38"/>
      <c r="F582" s="38"/>
    </row>
    <row r="583" ht="14.25" customHeight="1">
      <c r="A583" s="27"/>
      <c r="B583" s="27"/>
      <c r="C583" s="9"/>
      <c r="D583" s="9"/>
      <c r="E583" s="38"/>
      <c r="F583" s="38"/>
    </row>
    <row r="584" ht="14.25" customHeight="1">
      <c r="A584" s="27"/>
      <c r="B584" s="27"/>
      <c r="C584" s="9"/>
      <c r="D584" s="9"/>
      <c r="E584" s="38"/>
      <c r="F584" s="38"/>
    </row>
    <row r="585" ht="14.25" customHeight="1">
      <c r="A585" s="27"/>
      <c r="B585" s="27"/>
      <c r="C585" s="9"/>
      <c r="D585" s="9"/>
      <c r="E585" s="38"/>
      <c r="F585" s="38"/>
    </row>
    <row r="586" ht="14.25" customHeight="1">
      <c r="A586" s="27"/>
      <c r="B586" s="27"/>
      <c r="C586" s="9"/>
      <c r="D586" s="9"/>
      <c r="E586" s="38"/>
      <c r="F586" s="38"/>
    </row>
    <row r="587" ht="14.25" customHeight="1">
      <c r="A587" s="27"/>
      <c r="B587" s="27"/>
      <c r="C587" s="9"/>
      <c r="D587" s="9"/>
      <c r="E587" s="38"/>
      <c r="F587" s="38"/>
    </row>
    <row r="588" ht="14.25" customHeight="1">
      <c r="A588" s="27"/>
      <c r="B588" s="27"/>
      <c r="C588" s="9"/>
      <c r="D588" s="9"/>
      <c r="E588" s="38"/>
      <c r="F588" s="38"/>
    </row>
    <row r="589" ht="14.25" customHeight="1">
      <c r="A589" s="27"/>
      <c r="B589" s="27"/>
      <c r="C589" s="9"/>
      <c r="D589" s="9"/>
      <c r="E589" s="38"/>
      <c r="F589" s="38"/>
    </row>
    <row r="590" ht="14.25" customHeight="1">
      <c r="A590" s="27"/>
      <c r="B590" s="27"/>
      <c r="C590" s="9"/>
      <c r="D590" s="9"/>
      <c r="E590" s="38"/>
      <c r="F590" s="38"/>
    </row>
    <row r="591" ht="14.25" customHeight="1">
      <c r="A591" s="27"/>
      <c r="B591" s="27"/>
      <c r="C591" s="9"/>
      <c r="D591" s="9"/>
      <c r="E591" s="38"/>
      <c r="F591" s="38"/>
    </row>
    <row r="592" ht="14.25" customHeight="1">
      <c r="A592" s="27"/>
      <c r="B592" s="27"/>
      <c r="C592" s="9"/>
      <c r="D592" s="9"/>
      <c r="E592" s="38"/>
      <c r="F592" s="38"/>
    </row>
    <row r="593" ht="14.25" customHeight="1">
      <c r="A593" s="27"/>
      <c r="B593" s="27"/>
      <c r="C593" s="9"/>
      <c r="D593" s="9"/>
      <c r="E593" s="38"/>
      <c r="F593" s="38"/>
    </row>
    <row r="594" ht="14.25" customHeight="1">
      <c r="A594" s="27"/>
      <c r="B594" s="27"/>
      <c r="C594" s="9"/>
      <c r="D594" s="9"/>
      <c r="E594" s="38"/>
      <c r="F594" s="38"/>
    </row>
    <row r="595" ht="14.25" customHeight="1">
      <c r="A595" s="27"/>
      <c r="B595" s="27"/>
      <c r="C595" s="9"/>
      <c r="D595" s="9"/>
      <c r="E595" s="38"/>
      <c r="F595" s="38"/>
    </row>
    <row r="596" ht="14.25" customHeight="1">
      <c r="A596" s="27"/>
      <c r="B596" s="27"/>
      <c r="C596" s="9"/>
      <c r="D596" s="9"/>
      <c r="E596" s="38"/>
      <c r="F596" s="38"/>
    </row>
    <row r="597" ht="14.25" customHeight="1">
      <c r="A597" s="27"/>
      <c r="B597" s="27"/>
      <c r="C597" s="9"/>
      <c r="D597" s="9"/>
      <c r="E597" s="38"/>
      <c r="F597" s="38"/>
    </row>
    <row r="598" ht="14.25" customHeight="1">
      <c r="A598" s="27"/>
      <c r="B598" s="27"/>
      <c r="C598" s="9"/>
      <c r="D598" s="9"/>
      <c r="E598" s="38"/>
      <c r="F598" s="38"/>
    </row>
    <row r="599" ht="14.25" customHeight="1">
      <c r="A599" s="27"/>
      <c r="B599" s="27"/>
      <c r="C599" s="9"/>
      <c r="D599" s="9"/>
      <c r="E599" s="38"/>
      <c r="F599" s="38"/>
    </row>
    <row r="600" ht="14.25" customHeight="1">
      <c r="A600" s="27"/>
      <c r="B600" s="27"/>
      <c r="C600" s="9"/>
      <c r="D600" s="9"/>
      <c r="E600" s="38"/>
      <c r="F600" s="38"/>
    </row>
    <row r="601" ht="14.25" customHeight="1">
      <c r="A601" s="27"/>
      <c r="B601" s="27"/>
      <c r="C601" s="9"/>
      <c r="D601" s="9"/>
      <c r="E601" s="38"/>
      <c r="F601" s="38"/>
    </row>
    <row r="602" ht="14.25" customHeight="1">
      <c r="A602" s="27"/>
      <c r="B602" s="27"/>
      <c r="C602" s="9"/>
      <c r="D602" s="9"/>
      <c r="E602" s="38"/>
      <c r="F602" s="38"/>
    </row>
    <row r="603" ht="14.25" customHeight="1">
      <c r="A603" s="27"/>
      <c r="B603" s="27"/>
      <c r="C603" s="9"/>
      <c r="D603" s="9"/>
      <c r="E603" s="38"/>
      <c r="F603" s="38"/>
    </row>
    <row r="604" ht="14.25" customHeight="1">
      <c r="A604" s="27"/>
      <c r="B604" s="27"/>
      <c r="C604" s="9"/>
      <c r="D604" s="9"/>
      <c r="E604" s="38"/>
      <c r="F604" s="38"/>
    </row>
    <row r="605" ht="14.25" customHeight="1">
      <c r="A605" s="27"/>
      <c r="B605" s="27"/>
      <c r="C605" s="9"/>
      <c r="D605" s="9"/>
      <c r="E605" s="38"/>
      <c r="F605" s="38"/>
    </row>
    <row r="606" ht="14.25" customHeight="1">
      <c r="A606" s="27"/>
      <c r="B606" s="27"/>
      <c r="C606" s="9"/>
      <c r="D606" s="9"/>
      <c r="E606" s="38"/>
      <c r="F606" s="38"/>
    </row>
    <row r="607" ht="14.25" customHeight="1">
      <c r="A607" s="27"/>
      <c r="B607" s="27"/>
      <c r="C607" s="9"/>
      <c r="D607" s="9"/>
      <c r="E607" s="38"/>
      <c r="F607" s="38"/>
    </row>
    <row r="608" ht="14.25" customHeight="1">
      <c r="A608" s="27"/>
      <c r="B608" s="27"/>
      <c r="C608" s="9"/>
      <c r="D608" s="9"/>
      <c r="E608" s="38"/>
      <c r="F608" s="38"/>
    </row>
    <row r="609" ht="14.25" customHeight="1">
      <c r="A609" s="27"/>
      <c r="B609" s="27"/>
      <c r="C609" s="9"/>
      <c r="D609" s="9"/>
      <c r="E609" s="38"/>
      <c r="F609" s="38"/>
    </row>
    <row r="610" ht="14.25" customHeight="1">
      <c r="A610" s="27"/>
      <c r="B610" s="27"/>
      <c r="C610" s="9"/>
      <c r="D610" s="9"/>
      <c r="E610" s="38"/>
      <c r="F610" s="38"/>
    </row>
    <row r="611" ht="14.25" customHeight="1">
      <c r="A611" s="27"/>
      <c r="B611" s="27"/>
      <c r="C611" s="9"/>
      <c r="D611" s="9"/>
      <c r="E611" s="38"/>
      <c r="F611" s="38"/>
    </row>
    <row r="612" ht="14.25" customHeight="1">
      <c r="A612" s="27"/>
      <c r="B612" s="27"/>
      <c r="C612" s="9"/>
      <c r="D612" s="9"/>
      <c r="E612" s="38"/>
      <c r="F612" s="38"/>
    </row>
    <row r="613" ht="14.25" customHeight="1">
      <c r="A613" s="27"/>
      <c r="B613" s="27"/>
      <c r="C613" s="9"/>
      <c r="D613" s="9"/>
      <c r="E613" s="38"/>
      <c r="F613" s="38"/>
    </row>
    <row r="614" ht="14.25" customHeight="1">
      <c r="A614" s="27"/>
      <c r="B614" s="27"/>
      <c r="C614" s="9"/>
      <c r="D614" s="9"/>
      <c r="E614" s="38"/>
      <c r="F614" s="38"/>
    </row>
    <row r="615" ht="14.25" customHeight="1">
      <c r="A615" s="27"/>
      <c r="B615" s="27"/>
      <c r="C615" s="9"/>
      <c r="D615" s="9"/>
      <c r="E615" s="38"/>
      <c r="F615" s="38"/>
    </row>
    <row r="616" ht="14.25" customHeight="1">
      <c r="A616" s="27"/>
      <c r="B616" s="27"/>
      <c r="C616" s="9"/>
      <c r="D616" s="9"/>
      <c r="E616" s="38"/>
      <c r="F616" s="38"/>
    </row>
    <row r="617" ht="14.25" customHeight="1">
      <c r="A617" s="27"/>
      <c r="B617" s="27"/>
      <c r="C617" s="9"/>
      <c r="D617" s="9"/>
      <c r="E617" s="38"/>
      <c r="F617" s="38"/>
    </row>
    <row r="618" ht="14.25" customHeight="1">
      <c r="A618" s="27"/>
      <c r="B618" s="27"/>
      <c r="C618" s="9"/>
      <c r="D618" s="9"/>
      <c r="E618" s="38"/>
      <c r="F618" s="38"/>
    </row>
    <row r="619" ht="14.25" customHeight="1">
      <c r="A619" s="27"/>
      <c r="B619" s="27"/>
      <c r="C619" s="9"/>
      <c r="D619" s="9"/>
      <c r="E619" s="38"/>
      <c r="F619" s="38"/>
    </row>
    <row r="620" ht="14.25" customHeight="1">
      <c r="A620" s="27"/>
      <c r="B620" s="27"/>
      <c r="C620" s="9"/>
      <c r="D620" s="9"/>
      <c r="E620" s="38"/>
      <c r="F620" s="38"/>
    </row>
    <row r="621" ht="14.25" customHeight="1">
      <c r="A621" s="27"/>
      <c r="B621" s="27"/>
      <c r="C621" s="9"/>
      <c r="D621" s="9"/>
      <c r="E621" s="38"/>
      <c r="F621" s="38"/>
    </row>
    <row r="622" ht="14.25" customHeight="1">
      <c r="A622" s="27"/>
      <c r="B622" s="27"/>
      <c r="C622" s="9"/>
      <c r="D622" s="9"/>
      <c r="E622" s="38"/>
      <c r="F622" s="38"/>
    </row>
    <row r="623" ht="14.25" customHeight="1">
      <c r="A623" s="27"/>
      <c r="B623" s="27"/>
      <c r="C623" s="9"/>
      <c r="D623" s="9"/>
      <c r="E623" s="38"/>
      <c r="F623" s="38"/>
    </row>
    <row r="624" ht="14.25" customHeight="1">
      <c r="A624" s="27"/>
      <c r="B624" s="27"/>
      <c r="C624" s="9"/>
      <c r="D624" s="9"/>
      <c r="E624" s="38"/>
      <c r="F624" s="38"/>
    </row>
    <row r="625" ht="14.25" customHeight="1">
      <c r="A625" s="27"/>
      <c r="B625" s="27"/>
      <c r="C625" s="9"/>
      <c r="D625" s="9"/>
      <c r="E625" s="38"/>
      <c r="F625" s="38"/>
    </row>
    <row r="626" ht="14.25" customHeight="1">
      <c r="A626" s="27"/>
      <c r="B626" s="27"/>
      <c r="C626" s="9"/>
      <c r="D626" s="9"/>
      <c r="E626" s="38"/>
      <c r="F626" s="38"/>
    </row>
    <row r="627" ht="14.25" customHeight="1">
      <c r="A627" s="27"/>
      <c r="B627" s="27"/>
      <c r="C627" s="9"/>
      <c r="D627" s="9"/>
      <c r="E627" s="38"/>
      <c r="F627" s="38"/>
    </row>
    <row r="628" ht="14.25" customHeight="1">
      <c r="A628" s="27"/>
      <c r="B628" s="27"/>
      <c r="C628" s="9"/>
      <c r="D628" s="9"/>
      <c r="E628" s="38"/>
      <c r="F628" s="38"/>
    </row>
    <row r="629" ht="14.25" customHeight="1">
      <c r="A629" s="27"/>
      <c r="B629" s="27"/>
      <c r="C629" s="9"/>
      <c r="D629" s="9"/>
      <c r="E629" s="38"/>
      <c r="F629" s="38"/>
    </row>
    <row r="630" ht="14.25" customHeight="1">
      <c r="A630" s="27"/>
      <c r="B630" s="27"/>
      <c r="C630" s="9"/>
      <c r="D630" s="9"/>
      <c r="E630" s="38"/>
      <c r="F630" s="38"/>
    </row>
    <row r="631" ht="14.25" customHeight="1">
      <c r="A631" s="27"/>
      <c r="B631" s="27"/>
      <c r="C631" s="9"/>
      <c r="D631" s="9"/>
      <c r="E631" s="38"/>
      <c r="F631" s="38"/>
    </row>
    <row r="632" ht="14.25" customHeight="1">
      <c r="A632" s="27"/>
      <c r="B632" s="27"/>
      <c r="C632" s="9"/>
      <c r="D632" s="9"/>
      <c r="E632" s="38"/>
      <c r="F632" s="38"/>
    </row>
    <row r="633" ht="14.25" customHeight="1">
      <c r="A633" s="27"/>
      <c r="B633" s="27"/>
      <c r="C633" s="9"/>
      <c r="D633" s="9"/>
      <c r="E633" s="38"/>
      <c r="F633" s="38"/>
    </row>
    <row r="634" ht="14.25" customHeight="1">
      <c r="A634" s="27"/>
      <c r="B634" s="27"/>
      <c r="C634" s="9"/>
      <c r="D634" s="9"/>
      <c r="E634" s="38"/>
      <c r="F634" s="38"/>
    </row>
    <row r="635" ht="14.25" customHeight="1">
      <c r="A635" s="27"/>
      <c r="B635" s="27"/>
      <c r="C635" s="9"/>
      <c r="D635" s="9"/>
      <c r="E635" s="38"/>
      <c r="F635" s="38"/>
    </row>
    <row r="636" ht="14.25" customHeight="1">
      <c r="A636" s="27"/>
      <c r="B636" s="27"/>
      <c r="C636" s="9"/>
      <c r="D636" s="9"/>
      <c r="E636" s="38"/>
      <c r="F636" s="38"/>
    </row>
    <row r="637" ht="14.25" customHeight="1">
      <c r="A637" s="27"/>
      <c r="B637" s="27"/>
      <c r="C637" s="9"/>
      <c r="D637" s="9"/>
      <c r="E637" s="38"/>
      <c r="F637" s="38"/>
    </row>
    <row r="638" ht="14.25" customHeight="1">
      <c r="A638" s="27"/>
      <c r="B638" s="27"/>
      <c r="C638" s="9"/>
      <c r="D638" s="9"/>
      <c r="E638" s="38"/>
      <c r="F638" s="38"/>
    </row>
    <row r="639" ht="14.25" customHeight="1">
      <c r="A639" s="27"/>
      <c r="B639" s="27"/>
      <c r="C639" s="9"/>
      <c r="D639" s="9"/>
      <c r="E639" s="38"/>
      <c r="F639" s="38"/>
    </row>
    <row r="640" ht="14.25" customHeight="1">
      <c r="A640" s="27"/>
      <c r="B640" s="27"/>
      <c r="C640" s="9"/>
      <c r="D640" s="9"/>
      <c r="E640" s="38"/>
      <c r="F640" s="38"/>
    </row>
    <row r="641" ht="14.25" customHeight="1">
      <c r="A641" s="27"/>
      <c r="B641" s="27"/>
      <c r="C641" s="9"/>
      <c r="D641" s="9"/>
      <c r="E641" s="38"/>
      <c r="F641" s="38"/>
    </row>
    <row r="642" ht="14.25" customHeight="1">
      <c r="A642" s="27"/>
      <c r="B642" s="27"/>
      <c r="C642" s="9"/>
      <c r="D642" s="9"/>
      <c r="E642" s="38"/>
      <c r="F642" s="38"/>
    </row>
    <row r="643" ht="14.25" customHeight="1">
      <c r="A643" s="27"/>
      <c r="B643" s="27"/>
      <c r="C643" s="9"/>
      <c r="D643" s="9"/>
      <c r="E643" s="38"/>
      <c r="F643" s="38"/>
    </row>
    <row r="644" ht="14.25" customHeight="1">
      <c r="A644" s="27"/>
      <c r="B644" s="27"/>
      <c r="C644" s="9"/>
      <c r="D644" s="9"/>
      <c r="E644" s="38"/>
      <c r="F644" s="38"/>
    </row>
    <row r="645" ht="14.25" customHeight="1">
      <c r="A645" s="27"/>
      <c r="B645" s="27"/>
      <c r="C645" s="9"/>
      <c r="D645" s="9"/>
      <c r="E645" s="38"/>
      <c r="F645" s="38"/>
    </row>
    <row r="646" ht="14.25" customHeight="1">
      <c r="A646" s="27"/>
      <c r="B646" s="27"/>
      <c r="C646" s="9"/>
      <c r="D646" s="9"/>
      <c r="E646" s="38"/>
      <c r="F646" s="38"/>
    </row>
    <row r="647" ht="14.25" customHeight="1">
      <c r="A647" s="27"/>
      <c r="B647" s="27"/>
      <c r="C647" s="9"/>
      <c r="D647" s="9"/>
      <c r="E647" s="38"/>
      <c r="F647" s="38"/>
    </row>
    <row r="648" ht="14.25" customHeight="1">
      <c r="A648" s="27"/>
      <c r="B648" s="27"/>
      <c r="C648" s="9"/>
      <c r="D648" s="9"/>
      <c r="E648" s="38"/>
      <c r="F648" s="38"/>
    </row>
    <row r="649" ht="14.25" customHeight="1">
      <c r="A649" s="27"/>
      <c r="B649" s="27"/>
      <c r="C649" s="9"/>
      <c r="D649" s="9"/>
      <c r="E649" s="38"/>
      <c r="F649" s="38"/>
    </row>
    <row r="650" ht="14.25" customHeight="1">
      <c r="A650" s="27"/>
      <c r="B650" s="27"/>
      <c r="C650" s="9"/>
      <c r="D650" s="9"/>
      <c r="E650" s="38"/>
      <c r="F650" s="38"/>
    </row>
    <row r="651" ht="14.25" customHeight="1">
      <c r="A651" s="27"/>
      <c r="B651" s="27"/>
      <c r="C651" s="9"/>
      <c r="D651" s="9"/>
      <c r="E651" s="38"/>
      <c r="F651" s="38"/>
    </row>
    <row r="652" ht="14.25" customHeight="1">
      <c r="A652" s="27"/>
      <c r="B652" s="27"/>
      <c r="C652" s="9"/>
      <c r="D652" s="9"/>
      <c r="E652" s="38"/>
      <c r="F652" s="38"/>
    </row>
    <row r="653" ht="14.25" customHeight="1">
      <c r="A653" s="27"/>
      <c r="B653" s="27"/>
      <c r="C653" s="9"/>
      <c r="D653" s="9"/>
      <c r="E653" s="38"/>
      <c r="F653" s="38"/>
    </row>
    <row r="654" ht="14.25" customHeight="1">
      <c r="A654" s="27"/>
      <c r="B654" s="27"/>
      <c r="C654" s="9"/>
      <c r="D654" s="9"/>
      <c r="E654" s="38"/>
      <c r="F654" s="38"/>
    </row>
    <row r="655" ht="14.25" customHeight="1">
      <c r="A655" s="27"/>
      <c r="B655" s="27"/>
      <c r="C655" s="9"/>
      <c r="D655" s="9"/>
      <c r="E655" s="38"/>
      <c r="F655" s="38"/>
    </row>
    <row r="656" ht="14.25" customHeight="1">
      <c r="A656" s="27"/>
      <c r="B656" s="27"/>
      <c r="C656" s="9"/>
      <c r="D656" s="9"/>
      <c r="E656" s="38"/>
      <c r="F656" s="38"/>
    </row>
    <row r="657" ht="14.25" customHeight="1">
      <c r="A657" s="27"/>
      <c r="B657" s="27"/>
      <c r="C657" s="9"/>
      <c r="D657" s="9"/>
      <c r="E657" s="38"/>
      <c r="F657" s="38"/>
    </row>
    <row r="658" ht="14.25" customHeight="1">
      <c r="A658" s="27"/>
      <c r="B658" s="27"/>
      <c r="C658" s="9"/>
      <c r="D658" s="9"/>
      <c r="E658" s="38"/>
      <c r="F658" s="38"/>
    </row>
    <row r="659" ht="14.25" customHeight="1">
      <c r="A659" s="27"/>
      <c r="B659" s="27"/>
      <c r="C659" s="9"/>
      <c r="D659" s="9"/>
      <c r="E659" s="38"/>
      <c r="F659" s="38"/>
    </row>
    <row r="660" ht="14.25" customHeight="1">
      <c r="A660" s="27"/>
      <c r="B660" s="27"/>
      <c r="C660" s="9"/>
      <c r="D660" s="9"/>
      <c r="E660" s="38"/>
      <c r="F660" s="38"/>
    </row>
    <row r="661" ht="14.25" customHeight="1">
      <c r="A661" s="27"/>
      <c r="B661" s="27"/>
      <c r="C661" s="9"/>
      <c r="D661" s="9"/>
      <c r="E661" s="38"/>
      <c r="F661" s="38"/>
    </row>
    <row r="662" ht="14.25" customHeight="1">
      <c r="A662" s="27"/>
      <c r="B662" s="27"/>
      <c r="C662" s="9"/>
      <c r="D662" s="9"/>
      <c r="E662" s="38"/>
      <c r="F662" s="38"/>
    </row>
    <row r="663" ht="14.25" customHeight="1">
      <c r="A663" s="27"/>
      <c r="B663" s="27"/>
      <c r="C663" s="9"/>
      <c r="D663" s="9"/>
      <c r="E663" s="38"/>
      <c r="F663" s="38"/>
    </row>
    <row r="664" ht="14.25" customHeight="1">
      <c r="A664" s="27"/>
      <c r="B664" s="27"/>
      <c r="C664" s="9"/>
      <c r="D664" s="9"/>
      <c r="E664" s="38"/>
      <c r="F664" s="38"/>
    </row>
    <row r="665" ht="14.25" customHeight="1">
      <c r="A665" s="27"/>
      <c r="B665" s="27"/>
      <c r="C665" s="9"/>
      <c r="D665" s="9"/>
      <c r="E665" s="38"/>
      <c r="F665" s="38"/>
    </row>
    <row r="666" ht="14.25" customHeight="1">
      <c r="A666" s="27"/>
      <c r="B666" s="27"/>
      <c r="C666" s="9"/>
      <c r="D666" s="9"/>
      <c r="E666" s="38"/>
      <c r="F666" s="38"/>
    </row>
    <row r="667" ht="14.25" customHeight="1">
      <c r="A667" s="27"/>
      <c r="B667" s="27"/>
      <c r="C667" s="9"/>
      <c r="D667" s="9"/>
      <c r="E667" s="38"/>
      <c r="F667" s="38"/>
    </row>
    <row r="668" ht="14.25" customHeight="1">
      <c r="A668" s="27"/>
      <c r="B668" s="27"/>
      <c r="C668" s="9"/>
      <c r="D668" s="9"/>
      <c r="E668" s="38"/>
      <c r="F668" s="38"/>
    </row>
    <row r="669" ht="14.25" customHeight="1">
      <c r="A669" s="27"/>
      <c r="B669" s="27"/>
      <c r="C669" s="9"/>
      <c r="D669" s="9"/>
      <c r="E669" s="38"/>
      <c r="F669" s="38"/>
    </row>
    <row r="670" ht="14.25" customHeight="1">
      <c r="A670" s="27"/>
      <c r="B670" s="27"/>
      <c r="C670" s="9"/>
      <c r="D670" s="9"/>
      <c r="E670" s="38"/>
      <c r="F670" s="38"/>
    </row>
    <row r="671" ht="14.25" customHeight="1">
      <c r="A671" s="27"/>
      <c r="B671" s="27"/>
      <c r="C671" s="9"/>
      <c r="D671" s="9"/>
      <c r="E671" s="38"/>
      <c r="F671" s="38"/>
    </row>
    <row r="672" ht="14.25" customHeight="1">
      <c r="A672" s="27"/>
      <c r="B672" s="27"/>
      <c r="C672" s="9"/>
      <c r="D672" s="9"/>
      <c r="E672" s="38"/>
      <c r="F672" s="38"/>
    </row>
    <row r="673" ht="14.25" customHeight="1">
      <c r="A673" s="27"/>
      <c r="B673" s="27"/>
      <c r="C673" s="9"/>
      <c r="D673" s="9"/>
      <c r="E673" s="38"/>
      <c r="F673" s="38"/>
    </row>
    <row r="674" ht="14.25" customHeight="1">
      <c r="A674" s="27"/>
      <c r="B674" s="27"/>
      <c r="C674" s="9"/>
      <c r="D674" s="9"/>
      <c r="E674" s="38"/>
      <c r="F674" s="38"/>
    </row>
    <row r="675" ht="14.25" customHeight="1">
      <c r="A675" s="27"/>
      <c r="B675" s="27"/>
      <c r="C675" s="9"/>
      <c r="D675" s="9"/>
      <c r="E675" s="38"/>
      <c r="F675" s="38"/>
    </row>
    <row r="676" ht="14.25" customHeight="1">
      <c r="A676" s="27"/>
      <c r="B676" s="27"/>
      <c r="C676" s="9"/>
      <c r="D676" s="9"/>
      <c r="E676" s="38"/>
      <c r="F676" s="38"/>
    </row>
    <row r="677" ht="14.25" customHeight="1">
      <c r="A677" s="27"/>
      <c r="B677" s="27"/>
      <c r="C677" s="9"/>
      <c r="D677" s="9"/>
      <c r="E677" s="38"/>
      <c r="F677" s="38"/>
    </row>
    <row r="678" ht="14.25" customHeight="1">
      <c r="A678" s="27"/>
      <c r="B678" s="27"/>
      <c r="C678" s="9"/>
      <c r="D678" s="9"/>
      <c r="E678" s="38"/>
      <c r="F678" s="38"/>
    </row>
    <row r="679" ht="14.25" customHeight="1">
      <c r="A679" s="27"/>
      <c r="B679" s="27"/>
      <c r="C679" s="9"/>
      <c r="D679" s="9"/>
      <c r="E679" s="38"/>
      <c r="F679" s="38"/>
    </row>
    <row r="680" ht="14.25" customHeight="1">
      <c r="A680" s="27"/>
      <c r="B680" s="27"/>
      <c r="C680" s="9"/>
      <c r="D680" s="9"/>
      <c r="E680" s="38"/>
      <c r="F680" s="38"/>
    </row>
    <row r="681" ht="14.25" customHeight="1">
      <c r="A681" s="27"/>
      <c r="B681" s="27"/>
      <c r="C681" s="9"/>
      <c r="D681" s="9"/>
      <c r="E681" s="38"/>
      <c r="F681" s="38"/>
    </row>
    <row r="682" ht="14.25" customHeight="1">
      <c r="A682" s="27"/>
      <c r="B682" s="27"/>
      <c r="C682" s="9"/>
      <c r="D682" s="9"/>
      <c r="E682" s="38"/>
      <c r="F682" s="38"/>
    </row>
    <row r="683" ht="14.25" customHeight="1">
      <c r="A683" s="27"/>
      <c r="B683" s="27"/>
      <c r="C683" s="9"/>
      <c r="D683" s="9"/>
      <c r="E683" s="38"/>
      <c r="F683" s="38"/>
    </row>
    <row r="684" ht="14.25" customHeight="1">
      <c r="A684" s="27"/>
      <c r="B684" s="27"/>
      <c r="C684" s="9"/>
      <c r="D684" s="9"/>
      <c r="E684" s="38"/>
      <c r="F684" s="38"/>
    </row>
    <row r="685" ht="14.25" customHeight="1">
      <c r="A685" s="27"/>
      <c r="B685" s="27"/>
      <c r="C685" s="9"/>
      <c r="D685" s="9"/>
      <c r="E685" s="38"/>
      <c r="F685" s="38"/>
    </row>
    <row r="686" ht="14.25" customHeight="1">
      <c r="A686" s="27"/>
      <c r="B686" s="27"/>
      <c r="C686" s="9"/>
      <c r="D686" s="9"/>
      <c r="E686" s="38"/>
      <c r="F686" s="38"/>
    </row>
    <row r="687" ht="14.25" customHeight="1">
      <c r="A687" s="27"/>
      <c r="B687" s="27"/>
      <c r="C687" s="9"/>
      <c r="D687" s="9"/>
      <c r="E687" s="38"/>
      <c r="F687" s="38"/>
    </row>
    <row r="688" ht="14.25" customHeight="1">
      <c r="A688" s="27"/>
      <c r="B688" s="27"/>
      <c r="C688" s="9"/>
      <c r="D688" s="9"/>
      <c r="E688" s="38"/>
      <c r="F688" s="38"/>
    </row>
    <row r="689" ht="14.25" customHeight="1">
      <c r="A689" s="27"/>
      <c r="B689" s="27"/>
      <c r="C689" s="9"/>
      <c r="D689" s="9"/>
      <c r="E689" s="38"/>
      <c r="F689" s="38"/>
    </row>
    <row r="690" ht="14.25" customHeight="1">
      <c r="A690" s="27"/>
      <c r="B690" s="27"/>
      <c r="C690" s="9"/>
      <c r="D690" s="9"/>
      <c r="E690" s="38"/>
      <c r="F690" s="38"/>
    </row>
    <row r="691" ht="14.25" customHeight="1">
      <c r="A691" s="27"/>
      <c r="B691" s="27"/>
      <c r="C691" s="9"/>
      <c r="D691" s="9"/>
      <c r="E691" s="38"/>
      <c r="F691" s="38"/>
    </row>
    <row r="692" ht="14.25" customHeight="1">
      <c r="A692" s="27"/>
      <c r="B692" s="27"/>
      <c r="C692" s="9"/>
      <c r="D692" s="9"/>
      <c r="E692" s="38"/>
      <c r="F692" s="38"/>
    </row>
    <row r="693" ht="14.25" customHeight="1">
      <c r="A693" s="27"/>
      <c r="B693" s="27"/>
      <c r="C693" s="9"/>
      <c r="D693" s="9"/>
      <c r="E693" s="38"/>
      <c r="F693" s="38"/>
    </row>
    <row r="694" ht="14.25" customHeight="1">
      <c r="A694" s="27"/>
      <c r="B694" s="27"/>
      <c r="C694" s="9"/>
      <c r="D694" s="9"/>
      <c r="E694" s="38"/>
      <c r="F694" s="38"/>
    </row>
    <row r="695" ht="14.25" customHeight="1">
      <c r="A695" s="27"/>
      <c r="B695" s="27"/>
      <c r="C695" s="9"/>
      <c r="D695" s="9"/>
      <c r="E695" s="38"/>
      <c r="F695" s="38"/>
    </row>
    <row r="696" ht="14.25" customHeight="1">
      <c r="A696" s="27"/>
      <c r="B696" s="27"/>
      <c r="C696" s="9"/>
      <c r="D696" s="9"/>
      <c r="E696" s="38"/>
      <c r="F696" s="38"/>
    </row>
    <row r="697" ht="14.25" customHeight="1">
      <c r="A697" s="27"/>
      <c r="B697" s="27"/>
      <c r="C697" s="9"/>
      <c r="D697" s="9"/>
      <c r="E697" s="38"/>
      <c r="F697" s="38"/>
    </row>
    <row r="698" ht="14.25" customHeight="1">
      <c r="A698" s="27"/>
      <c r="B698" s="27"/>
      <c r="C698" s="9"/>
      <c r="D698" s="9"/>
      <c r="E698" s="38"/>
      <c r="F698" s="38"/>
    </row>
    <row r="699" ht="14.25" customHeight="1">
      <c r="A699" s="27"/>
      <c r="B699" s="27"/>
      <c r="C699" s="9"/>
      <c r="D699" s="9"/>
      <c r="E699" s="38"/>
      <c r="F699" s="38"/>
    </row>
    <row r="700" ht="14.25" customHeight="1">
      <c r="A700" s="27"/>
      <c r="B700" s="27"/>
      <c r="C700" s="9"/>
      <c r="D700" s="9"/>
      <c r="E700" s="38"/>
      <c r="F700" s="38"/>
    </row>
    <row r="701" ht="14.25" customHeight="1">
      <c r="A701" s="27"/>
      <c r="B701" s="27"/>
      <c r="C701" s="9"/>
      <c r="D701" s="9"/>
      <c r="E701" s="38"/>
      <c r="F701" s="38"/>
    </row>
    <row r="702" ht="14.25" customHeight="1">
      <c r="A702" s="27"/>
      <c r="B702" s="27"/>
      <c r="C702" s="9"/>
      <c r="D702" s="9"/>
      <c r="E702" s="38"/>
      <c r="F702" s="38"/>
    </row>
    <row r="703" ht="14.25" customHeight="1">
      <c r="A703" s="27"/>
      <c r="B703" s="27"/>
      <c r="C703" s="9"/>
      <c r="D703" s="9"/>
      <c r="E703" s="38"/>
      <c r="F703" s="38"/>
    </row>
    <row r="704" ht="14.25" customHeight="1">
      <c r="A704" s="27"/>
      <c r="B704" s="27"/>
      <c r="C704" s="9"/>
      <c r="D704" s="9"/>
      <c r="E704" s="38"/>
      <c r="F704" s="38"/>
    </row>
    <row r="705" ht="14.25" customHeight="1">
      <c r="A705" s="27"/>
      <c r="B705" s="27"/>
      <c r="C705" s="9"/>
      <c r="D705" s="9"/>
      <c r="E705" s="38"/>
      <c r="F705" s="38"/>
    </row>
    <row r="706" ht="14.25" customHeight="1">
      <c r="A706" s="27"/>
      <c r="B706" s="27"/>
      <c r="C706" s="9"/>
      <c r="D706" s="9"/>
      <c r="E706" s="38"/>
      <c r="F706" s="38"/>
    </row>
    <row r="707" ht="14.25" customHeight="1">
      <c r="A707" s="27"/>
      <c r="B707" s="27"/>
      <c r="C707" s="9"/>
      <c r="D707" s="9"/>
      <c r="E707" s="38"/>
      <c r="F707" s="38"/>
    </row>
    <row r="708" ht="14.25" customHeight="1">
      <c r="A708" s="27"/>
      <c r="B708" s="27"/>
      <c r="C708" s="9"/>
      <c r="D708" s="9"/>
      <c r="E708" s="38"/>
      <c r="F708" s="38"/>
    </row>
    <row r="709" ht="14.25" customHeight="1">
      <c r="A709" s="27"/>
      <c r="B709" s="27"/>
      <c r="C709" s="9"/>
      <c r="D709" s="9"/>
      <c r="E709" s="38"/>
      <c r="F709" s="38"/>
    </row>
    <row r="710" ht="14.25" customHeight="1">
      <c r="A710" s="27"/>
      <c r="B710" s="27"/>
      <c r="C710" s="9"/>
      <c r="D710" s="9"/>
      <c r="E710" s="38"/>
      <c r="F710" s="38"/>
    </row>
    <row r="711" ht="14.25" customHeight="1">
      <c r="A711" s="27"/>
      <c r="B711" s="27"/>
      <c r="C711" s="9"/>
      <c r="D711" s="9"/>
      <c r="E711" s="38"/>
      <c r="F711" s="38"/>
    </row>
    <row r="712" ht="14.25" customHeight="1">
      <c r="A712" s="27"/>
      <c r="B712" s="27"/>
      <c r="C712" s="9"/>
      <c r="D712" s="9"/>
      <c r="E712" s="38"/>
      <c r="F712" s="38"/>
    </row>
    <row r="713" ht="14.25" customHeight="1">
      <c r="A713" s="27"/>
      <c r="B713" s="27"/>
      <c r="C713" s="9"/>
      <c r="D713" s="9"/>
      <c r="E713" s="38"/>
      <c r="F713" s="38"/>
    </row>
    <row r="714" ht="14.25" customHeight="1">
      <c r="A714" s="27"/>
      <c r="B714" s="27"/>
      <c r="C714" s="9"/>
      <c r="D714" s="9"/>
      <c r="E714" s="38"/>
      <c r="F714" s="38"/>
    </row>
    <row r="715" ht="14.25" customHeight="1">
      <c r="A715" s="27"/>
      <c r="B715" s="27"/>
      <c r="C715" s="9"/>
      <c r="D715" s="9"/>
      <c r="E715" s="38"/>
      <c r="F715" s="38"/>
    </row>
    <row r="716" ht="14.25" customHeight="1">
      <c r="A716" s="27"/>
      <c r="B716" s="27"/>
      <c r="C716" s="9"/>
      <c r="D716" s="9"/>
      <c r="E716" s="38"/>
      <c r="F716" s="38"/>
    </row>
    <row r="717" ht="14.25" customHeight="1">
      <c r="A717" s="27"/>
      <c r="B717" s="27"/>
      <c r="C717" s="9"/>
      <c r="D717" s="9"/>
      <c r="E717" s="38"/>
      <c r="F717" s="38"/>
    </row>
    <row r="718" ht="14.25" customHeight="1">
      <c r="A718" s="27"/>
      <c r="B718" s="27"/>
      <c r="C718" s="9"/>
      <c r="D718" s="9"/>
      <c r="E718" s="38"/>
      <c r="F718" s="38"/>
    </row>
    <row r="719" ht="14.25" customHeight="1">
      <c r="A719" s="27"/>
      <c r="B719" s="27"/>
      <c r="C719" s="9"/>
      <c r="D719" s="9"/>
      <c r="E719" s="38"/>
      <c r="F719" s="38"/>
    </row>
    <row r="720" ht="14.25" customHeight="1">
      <c r="A720" s="27"/>
      <c r="B720" s="27"/>
      <c r="C720" s="9"/>
      <c r="D720" s="9"/>
      <c r="E720" s="38"/>
      <c r="F720" s="38"/>
    </row>
    <row r="721" ht="14.25" customHeight="1">
      <c r="A721" s="27"/>
      <c r="B721" s="27"/>
      <c r="C721" s="9"/>
      <c r="D721" s="9"/>
      <c r="E721" s="38"/>
      <c r="F721" s="38"/>
    </row>
    <row r="722" ht="14.25" customHeight="1">
      <c r="A722" s="27"/>
      <c r="B722" s="27"/>
      <c r="C722" s="9"/>
      <c r="D722" s="9"/>
      <c r="E722" s="38"/>
      <c r="F722" s="38"/>
    </row>
    <row r="723" ht="14.25" customHeight="1">
      <c r="A723" s="27"/>
      <c r="B723" s="27"/>
      <c r="C723" s="9"/>
      <c r="D723" s="9"/>
      <c r="E723" s="38"/>
      <c r="F723" s="38"/>
    </row>
    <row r="724" ht="14.25" customHeight="1">
      <c r="A724" s="27"/>
      <c r="B724" s="27"/>
      <c r="C724" s="9"/>
      <c r="D724" s="9"/>
      <c r="E724" s="38"/>
      <c r="F724" s="38"/>
    </row>
    <row r="725" ht="14.25" customHeight="1">
      <c r="A725" s="27"/>
      <c r="B725" s="27"/>
      <c r="C725" s="9"/>
      <c r="D725" s="9"/>
      <c r="E725" s="38"/>
      <c r="F725" s="38"/>
    </row>
    <row r="726" ht="14.25" customHeight="1">
      <c r="A726" s="27"/>
      <c r="B726" s="27"/>
      <c r="C726" s="9"/>
      <c r="D726" s="9"/>
      <c r="E726" s="38"/>
      <c r="F726" s="38"/>
    </row>
    <row r="727" ht="14.25" customHeight="1">
      <c r="A727" s="27"/>
      <c r="B727" s="27"/>
      <c r="C727" s="9"/>
      <c r="D727" s="9"/>
      <c r="E727" s="38"/>
      <c r="F727" s="38"/>
    </row>
    <row r="728" ht="14.25" customHeight="1">
      <c r="A728" s="27"/>
      <c r="B728" s="27"/>
      <c r="C728" s="9"/>
      <c r="D728" s="9"/>
      <c r="E728" s="38"/>
      <c r="F728" s="38"/>
    </row>
    <row r="729" ht="14.25" customHeight="1">
      <c r="A729" s="27"/>
      <c r="B729" s="27"/>
      <c r="C729" s="9"/>
      <c r="D729" s="9"/>
      <c r="E729" s="38"/>
      <c r="F729" s="38"/>
    </row>
    <row r="730" ht="14.25" customHeight="1">
      <c r="A730" s="27"/>
      <c r="B730" s="27"/>
      <c r="C730" s="9"/>
      <c r="D730" s="9"/>
      <c r="E730" s="38"/>
      <c r="F730" s="38"/>
    </row>
    <row r="731" ht="14.25" customHeight="1">
      <c r="A731" s="27"/>
      <c r="B731" s="27"/>
      <c r="C731" s="9"/>
      <c r="D731" s="9"/>
      <c r="E731" s="38"/>
      <c r="F731" s="38"/>
    </row>
    <row r="732" ht="14.25" customHeight="1">
      <c r="A732" s="27"/>
      <c r="B732" s="27"/>
      <c r="C732" s="9"/>
      <c r="D732" s="9"/>
      <c r="E732" s="38"/>
      <c r="F732" s="38"/>
    </row>
    <row r="733" ht="14.25" customHeight="1">
      <c r="A733" s="27"/>
      <c r="B733" s="27"/>
      <c r="C733" s="9"/>
      <c r="D733" s="9"/>
      <c r="E733" s="38"/>
      <c r="F733" s="38"/>
    </row>
    <row r="734" ht="14.25" customHeight="1">
      <c r="A734" s="27"/>
      <c r="B734" s="27"/>
      <c r="C734" s="9"/>
      <c r="D734" s="9"/>
      <c r="E734" s="38"/>
      <c r="F734" s="38"/>
    </row>
    <row r="735" ht="14.25" customHeight="1">
      <c r="A735" s="27"/>
      <c r="B735" s="27"/>
      <c r="C735" s="9"/>
      <c r="D735" s="9"/>
      <c r="E735" s="38"/>
      <c r="F735" s="38"/>
    </row>
    <row r="736" ht="14.25" customHeight="1">
      <c r="A736" s="27"/>
      <c r="B736" s="27"/>
      <c r="C736" s="9"/>
      <c r="D736" s="9"/>
      <c r="E736" s="38"/>
      <c r="F736" s="38"/>
    </row>
    <row r="737" ht="14.25" customHeight="1">
      <c r="A737" s="27"/>
      <c r="B737" s="27"/>
      <c r="C737" s="9"/>
      <c r="D737" s="9"/>
      <c r="E737" s="38"/>
      <c r="F737" s="38"/>
    </row>
    <row r="738" ht="14.25" customHeight="1">
      <c r="A738" s="27"/>
      <c r="B738" s="27"/>
      <c r="C738" s="9"/>
      <c r="D738" s="9"/>
      <c r="E738" s="38"/>
      <c r="F738" s="38"/>
    </row>
    <row r="739" ht="14.25" customHeight="1">
      <c r="A739" s="27"/>
      <c r="B739" s="27"/>
      <c r="C739" s="9"/>
      <c r="D739" s="9"/>
      <c r="E739" s="38"/>
      <c r="F739" s="38"/>
    </row>
    <row r="740" ht="14.25" customHeight="1">
      <c r="A740" s="27"/>
      <c r="B740" s="27"/>
      <c r="C740" s="9"/>
      <c r="D740" s="9"/>
      <c r="E740" s="38"/>
      <c r="F740" s="38"/>
    </row>
    <row r="741" ht="14.25" customHeight="1">
      <c r="A741" s="27"/>
      <c r="B741" s="27"/>
      <c r="C741" s="9"/>
      <c r="D741" s="9"/>
      <c r="E741" s="38"/>
      <c r="F741" s="38"/>
    </row>
    <row r="742" ht="14.25" customHeight="1">
      <c r="A742" s="27"/>
      <c r="B742" s="27"/>
      <c r="C742" s="9"/>
      <c r="D742" s="9"/>
      <c r="E742" s="38"/>
      <c r="F742" s="38"/>
    </row>
    <row r="743" ht="14.25" customHeight="1">
      <c r="A743" s="27"/>
      <c r="B743" s="27"/>
      <c r="C743" s="9"/>
      <c r="D743" s="9"/>
      <c r="E743" s="38"/>
      <c r="F743" s="38"/>
    </row>
    <row r="744" ht="14.25" customHeight="1">
      <c r="A744" s="27"/>
      <c r="B744" s="27"/>
      <c r="C744" s="9"/>
      <c r="D744" s="9"/>
      <c r="E744" s="38"/>
      <c r="F744" s="38"/>
    </row>
    <row r="745" ht="14.25" customHeight="1">
      <c r="A745" s="27"/>
      <c r="B745" s="27"/>
      <c r="C745" s="9"/>
      <c r="D745" s="9"/>
      <c r="E745" s="38"/>
      <c r="F745" s="38"/>
    </row>
    <row r="746" ht="14.25" customHeight="1">
      <c r="A746" s="27"/>
      <c r="B746" s="27"/>
      <c r="C746" s="9"/>
      <c r="D746" s="9"/>
      <c r="E746" s="38"/>
      <c r="F746" s="38"/>
    </row>
    <row r="747" ht="14.25" customHeight="1">
      <c r="A747" s="27"/>
      <c r="B747" s="27"/>
      <c r="C747" s="9"/>
      <c r="D747" s="9"/>
      <c r="E747" s="38"/>
      <c r="F747" s="38"/>
    </row>
    <row r="748" ht="14.25" customHeight="1">
      <c r="A748" s="27"/>
      <c r="B748" s="27"/>
      <c r="C748" s="9"/>
      <c r="D748" s="9"/>
      <c r="E748" s="38"/>
      <c r="F748" s="38"/>
    </row>
    <row r="749" ht="14.25" customHeight="1">
      <c r="A749" s="27"/>
      <c r="B749" s="27"/>
      <c r="C749" s="9"/>
      <c r="D749" s="9"/>
      <c r="E749" s="38"/>
      <c r="F749" s="38"/>
    </row>
    <row r="750" ht="14.25" customHeight="1">
      <c r="A750" s="27"/>
      <c r="B750" s="27"/>
      <c r="C750" s="9"/>
      <c r="D750" s="9"/>
      <c r="E750" s="38"/>
      <c r="F750" s="38"/>
    </row>
    <row r="751" ht="14.25" customHeight="1">
      <c r="A751" s="27"/>
      <c r="B751" s="27"/>
      <c r="C751" s="9"/>
      <c r="D751" s="9"/>
      <c r="E751" s="38"/>
      <c r="F751" s="38"/>
    </row>
    <row r="752" ht="14.25" customHeight="1">
      <c r="A752" s="27"/>
      <c r="B752" s="27"/>
      <c r="C752" s="9"/>
      <c r="D752" s="9"/>
      <c r="E752" s="38"/>
      <c r="F752" s="38"/>
    </row>
    <row r="753" ht="14.25" customHeight="1">
      <c r="A753" s="27"/>
      <c r="B753" s="27"/>
      <c r="C753" s="9"/>
      <c r="D753" s="9"/>
      <c r="E753" s="38"/>
      <c r="F753" s="38"/>
    </row>
    <row r="754" ht="14.25" customHeight="1">
      <c r="A754" s="27"/>
      <c r="B754" s="27"/>
      <c r="C754" s="9"/>
      <c r="D754" s="9"/>
      <c r="E754" s="38"/>
      <c r="F754" s="38"/>
    </row>
    <row r="755" ht="14.25" customHeight="1">
      <c r="A755" s="27"/>
      <c r="B755" s="27"/>
      <c r="C755" s="9"/>
      <c r="D755" s="9"/>
      <c r="E755" s="38"/>
      <c r="F755" s="38"/>
    </row>
    <row r="756" ht="14.25" customHeight="1">
      <c r="A756" s="27"/>
      <c r="B756" s="27"/>
      <c r="C756" s="9"/>
      <c r="D756" s="9"/>
      <c r="E756" s="38"/>
      <c r="F756" s="38"/>
    </row>
    <row r="757" ht="14.25" customHeight="1">
      <c r="A757" s="27"/>
      <c r="B757" s="27"/>
      <c r="C757" s="9"/>
      <c r="D757" s="9"/>
      <c r="E757" s="38"/>
      <c r="F757" s="38"/>
    </row>
    <row r="758" ht="14.25" customHeight="1">
      <c r="A758" s="27"/>
      <c r="B758" s="27"/>
      <c r="C758" s="9"/>
      <c r="D758" s="9"/>
      <c r="E758" s="38"/>
      <c r="F758" s="38"/>
    </row>
    <row r="759" ht="14.25" customHeight="1">
      <c r="A759" s="27"/>
      <c r="B759" s="27"/>
      <c r="C759" s="9"/>
      <c r="D759" s="9"/>
      <c r="E759" s="38"/>
      <c r="F759" s="38"/>
    </row>
    <row r="760" ht="14.25" customHeight="1">
      <c r="A760" s="27"/>
      <c r="B760" s="27"/>
      <c r="C760" s="9"/>
      <c r="D760" s="9"/>
      <c r="E760" s="38"/>
      <c r="F760" s="38"/>
    </row>
    <row r="761" ht="14.25" customHeight="1">
      <c r="A761" s="27"/>
      <c r="B761" s="27"/>
      <c r="C761" s="9"/>
      <c r="D761" s="9"/>
      <c r="E761" s="38"/>
      <c r="F761" s="38"/>
    </row>
    <row r="762" ht="14.25" customHeight="1">
      <c r="A762" s="27"/>
      <c r="B762" s="27"/>
      <c r="C762" s="9"/>
      <c r="D762" s="9"/>
      <c r="E762" s="38"/>
      <c r="F762" s="38"/>
    </row>
    <row r="763" ht="14.25" customHeight="1">
      <c r="A763" s="27"/>
      <c r="B763" s="27"/>
      <c r="C763" s="9"/>
      <c r="D763" s="9"/>
      <c r="E763" s="38"/>
      <c r="F763" s="38"/>
    </row>
    <row r="764" ht="14.25" customHeight="1">
      <c r="A764" s="27"/>
      <c r="B764" s="27"/>
      <c r="C764" s="9"/>
      <c r="D764" s="9"/>
      <c r="E764" s="38"/>
      <c r="F764" s="38"/>
    </row>
    <row r="765" ht="14.25" customHeight="1">
      <c r="A765" s="27"/>
      <c r="B765" s="27"/>
      <c r="C765" s="9"/>
      <c r="D765" s="9"/>
      <c r="E765" s="38"/>
      <c r="F765" s="38"/>
    </row>
    <row r="766" ht="14.25" customHeight="1">
      <c r="A766" s="27"/>
      <c r="B766" s="27"/>
      <c r="C766" s="9"/>
      <c r="D766" s="9"/>
      <c r="E766" s="38"/>
      <c r="F766" s="38"/>
    </row>
    <row r="767" ht="14.25" customHeight="1">
      <c r="A767" s="27"/>
      <c r="B767" s="27"/>
      <c r="C767" s="9"/>
      <c r="D767" s="9"/>
      <c r="E767" s="38"/>
      <c r="F767" s="38"/>
    </row>
    <row r="768" ht="14.25" customHeight="1">
      <c r="A768" s="27"/>
      <c r="B768" s="27"/>
      <c r="C768" s="9"/>
      <c r="D768" s="9"/>
      <c r="E768" s="38"/>
      <c r="F768" s="38"/>
    </row>
    <row r="769" ht="14.25" customHeight="1">
      <c r="A769" s="27"/>
      <c r="B769" s="27"/>
      <c r="C769" s="9"/>
      <c r="D769" s="9"/>
      <c r="E769" s="38"/>
      <c r="F769" s="38"/>
    </row>
    <row r="770" ht="14.25" customHeight="1">
      <c r="A770" s="27"/>
      <c r="B770" s="27"/>
      <c r="C770" s="9"/>
      <c r="D770" s="9"/>
      <c r="E770" s="38"/>
      <c r="F770" s="38"/>
    </row>
    <row r="771" ht="14.25" customHeight="1">
      <c r="A771" s="27"/>
      <c r="B771" s="27"/>
      <c r="C771" s="9"/>
      <c r="D771" s="9"/>
      <c r="E771" s="38"/>
      <c r="F771" s="38"/>
    </row>
    <row r="772" ht="14.25" customHeight="1">
      <c r="A772" s="27"/>
      <c r="B772" s="27"/>
      <c r="C772" s="9"/>
      <c r="D772" s="9"/>
      <c r="E772" s="38"/>
      <c r="F772" s="38"/>
    </row>
    <row r="773" ht="14.25" customHeight="1">
      <c r="A773" s="27"/>
      <c r="B773" s="27"/>
      <c r="C773" s="9"/>
      <c r="D773" s="9"/>
      <c r="E773" s="38"/>
      <c r="F773" s="38"/>
    </row>
    <row r="774" ht="14.25" customHeight="1">
      <c r="A774" s="27"/>
      <c r="B774" s="27"/>
      <c r="C774" s="9"/>
      <c r="D774" s="9"/>
      <c r="E774" s="38"/>
      <c r="F774" s="38"/>
    </row>
    <row r="775" ht="14.25" customHeight="1">
      <c r="A775" s="27"/>
      <c r="B775" s="27"/>
      <c r="C775" s="9"/>
      <c r="D775" s="9"/>
      <c r="E775" s="38"/>
      <c r="F775" s="38"/>
    </row>
    <row r="776" ht="14.25" customHeight="1">
      <c r="A776" s="27"/>
      <c r="B776" s="27"/>
      <c r="C776" s="9"/>
      <c r="D776" s="9"/>
      <c r="E776" s="38"/>
      <c r="F776" s="38"/>
    </row>
    <row r="777" ht="14.25" customHeight="1">
      <c r="A777" s="27"/>
      <c r="B777" s="27"/>
      <c r="C777" s="9"/>
      <c r="D777" s="9"/>
      <c r="E777" s="38"/>
      <c r="F777" s="38"/>
    </row>
    <row r="778" ht="14.25" customHeight="1">
      <c r="A778" s="27"/>
      <c r="B778" s="27"/>
      <c r="C778" s="9"/>
      <c r="D778" s="9"/>
      <c r="E778" s="38"/>
      <c r="F778" s="38"/>
    </row>
    <row r="779" ht="14.25" customHeight="1">
      <c r="A779" s="27"/>
      <c r="B779" s="27"/>
      <c r="C779" s="9"/>
      <c r="D779" s="9"/>
      <c r="E779" s="38"/>
      <c r="F779" s="38"/>
    </row>
    <row r="780" ht="14.25" customHeight="1">
      <c r="A780" s="27"/>
      <c r="B780" s="27"/>
      <c r="C780" s="9"/>
      <c r="D780" s="9"/>
      <c r="E780" s="38"/>
      <c r="F780" s="38"/>
    </row>
    <row r="781" ht="14.25" customHeight="1">
      <c r="A781" s="27"/>
      <c r="B781" s="27"/>
      <c r="C781" s="9"/>
      <c r="D781" s="9"/>
      <c r="E781" s="38"/>
      <c r="F781" s="38"/>
    </row>
    <row r="782" ht="14.25" customHeight="1">
      <c r="A782" s="27"/>
      <c r="B782" s="27"/>
      <c r="C782" s="9"/>
      <c r="D782" s="9"/>
      <c r="E782" s="38"/>
      <c r="F782" s="38"/>
    </row>
    <row r="783" ht="14.25" customHeight="1">
      <c r="A783" s="27"/>
      <c r="B783" s="27"/>
      <c r="C783" s="9"/>
      <c r="D783" s="9"/>
      <c r="E783" s="38"/>
      <c r="F783" s="38"/>
    </row>
    <row r="784" ht="14.25" customHeight="1">
      <c r="A784" s="27"/>
      <c r="B784" s="27"/>
      <c r="C784" s="9"/>
      <c r="D784" s="9"/>
      <c r="E784" s="38"/>
      <c r="F784" s="38"/>
    </row>
    <row r="785" ht="14.25" customHeight="1">
      <c r="A785" s="27"/>
      <c r="B785" s="27"/>
      <c r="C785" s="9"/>
      <c r="D785" s="9"/>
      <c r="E785" s="38"/>
      <c r="F785" s="38"/>
    </row>
    <row r="786" ht="14.25" customHeight="1">
      <c r="A786" s="27"/>
      <c r="B786" s="27"/>
      <c r="C786" s="9"/>
      <c r="D786" s="9"/>
      <c r="E786" s="38"/>
      <c r="F786" s="38"/>
    </row>
    <row r="787" ht="14.25" customHeight="1">
      <c r="A787" s="27"/>
      <c r="B787" s="27"/>
      <c r="C787" s="9"/>
      <c r="D787" s="9"/>
      <c r="E787" s="38"/>
      <c r="F787" s="38"/>
    </row>
    <row r="788" ht="14.25" customHeight="1">
      <c r="A788" s="27"/>
      <c r="B788" s="27"/>
      <c r="C788" s="9"/>
      <c r="D788" s="9"/>
      <c r="E788" s="38"/>
      <c r="F788" s="38"/>
    </row>
    <row r="789" ht="14.25" customHeight="1">
      <c r="A789" s="27"/>
      <c r="B789" s="27"/>
      <c r="C789" s="9"/>
      <c r="D789" s="9"/>
      <c r="E789" s="38"/>
      <c r="F789" s="38"/>
    </row>
    <row r="790" ht="14.25" customHeight="1">
      <c r="A790" s="27"/>
      <c r="B790" s="27"/>
      <c r="C790" s="9"/>
      <c r="D790" s="9"/>
      <c r="E790" s="38"/>
      <c r="F790" s="38"/>
    </row>
    <row r="791" ht="14.25" customHeight="1">
      <c r="A791" s="27"/>
      <c r="B791" s="27"/>
      <c r="C791" s="9"/>
      <c r="D791" s="9"/>
      <c r="E791" s="38"/>
      <c r="F791" s="38"/>
    </row>
    <row r="792" ht="14.25" customHeight="1">
      <c r="A792" s="27"/>
      <c r="B792" s="27"/>
      <c r="C792" s="9"/>
      <c r="D792" s="9"/>
      <c r="E792" s="38"/>
      <c r="F792" s="38"/>
    </row>
    <row r="793" ht="14.25" customHeight="1">
      <c r="A793" s="27"/>
      <c r="B793" s="27"/>
      <c r="C793" s="9"/>
      <c r="D793" s="9"/>
      <c r="E793" s="38"/>
      <c r="F793" s="38"/>
    </row>
    <row r="794" ht="14.25" customHeight="1">
      <c r="A794" s="27"/>
      <c r="B794" s="27"/>
      <c r="C794" s="9"/>
      <c r="D794" s="9"/>
      <c r="E794" s="38"/>
      <c r="F794" s="38"/>
    </row>
    <row r="795" ht="14.25" customHeight="1">
      <c r="A795" s="27"/>
      <c r="B795" s="27"/>
      <c r="C795" s="9"/>
      <c r="D795" s="9"/>
      <c r="E795" s="38"/>
      <c r="F795" s="38"/>
    </row>
    <row r="796" ht="14.25" customHeight="1">
      <c r="A796" s="27"/>
      <c r="B796" s="27"/>
      <c r="C796" s="9"/>
      <c r="D796" s="9"/>
      <c r="E796" s="38"/>
      <c r="F796" s="38"/>
    </row>
    <row r="797" ht="14.25" customHeight="1">
      <c r="A797" s="27"/>
      <c r="B797" s="27"/>
      <c r="C797" s="9"/>
      <c r="D797" s="9"/>
      <c r="E797" s="38"/>
      <c r="F797" s="38"/>
    </row>
    <row r="798" ht="14.25" customHeight="1">
      <c r="A798" s="27"/>
      <c r="B798" s="27"/>
      <c r="C798" s="9"/>
      <c r="D798" s="9"/>
      <c r="E798" s="38"/>
      <c r="F798" s="38"/>
    </row>
    <row r="799" ht="14.25" customHeight="1">
      <c r="A799" s="27"/>
      <c r="B799" s="27"/>
      <c r="C799" s="9"/>
      <c r="D799" s="9"/>
      <c r="E799" s="38"/>
      <c r="F799" s="38"/>
    </row>
    <row r="800" ht="14.25" customHeight="1">
      <c r="A800" s="27"/>
      <c r="B800" s="27"/>
      <c r="C800" s="9"/>
      <c r="D800" s="9"/>
      <c r="E800" s="38"/>
      <c r="F800" s="38"/>
    </row>
    <row r="801" ht="14.25" customHeight="1">
      <c r="A801" s="27"/>
      <c r="B801" s="27"/>
      <c r="C801" s="9"/>
      <c r="D801" s="9"/>
      <c r="E801" s="38"/>
      <c r="F801" s="38"/>
    </row>
    <row r="802" ht="14.25" customHeight="1">
      <c r="A802" s="27"/>
      <c r="B802" s="27"/>
      <c r="C802" s="9"/>
      <c r="D802" s="9"/>
      <c r="E802" s="38"/>
      <c r="F802" s="38"/>
    </row>
    <row r="803" ht="14.25" customHeight="1">
      <c r="A803" s="27"/>
      <c r="B803" s="27"/>
      <c r="C803" s="9"/>
      <c r="D803" s="9"/>
      <c r="E803" s="38"/>
      <c r="F803" s="38"/>
    </row>
    <row r="804" ht="14.25" customHeight="1">
      <c r="A804" s="27"/>
      <c r="B804" s="27"/>
      <c r="C804" s="9"/>
      <c r="D804" s="9"/>
      <c r="E804" s="38"/>
      <c r="F804" s="38"/>
    </row>
    <row r="805" ht="14.25" customHeight="1">
      <c r="A805" s="27"/>
      <c r="B805" s="27"/>
      <c r="C805" s="9"/>
      <c r="D805" s="9"/>
      <c r="E805" s="38"/>
      <c r="F805" s="38"/>
    </row>
    <row r="806" ht="14.25" customHeight="1">
      <c r="A806" s="27"/>
      <c r="B806" s="27"/>
      <c r="C806" s="9"/>
      <c r="D806" s="9"/>
      <c r="E806" s="38"/>
      <c r="F806" s="38"/>
    </row>
    <row r="807" ht="14.25" customHeight="1">
      <c r="A807" s="27"/>
      <c r="B807" s="27"/>
      <c r="C807" s="9"/>
      <c r="D807" s="9"/>
      <c r="E807" s="38"/>
      <c r="F807" s="38"/>
    </row>
    <row r="808" ht="14.25" customHeight="1">
      <c r="A808" s="27"/>
      <c r="B808" s="27"/>
      <c r="C808" s="9"/>
      <c r="D808" s="9"/>
      <c r="E808" s="38"/>
      <c r="F808" s="38"/>
    </row>
    <row r="809" ht="14.25" customHeight="1">
      <c r="A809" s="27"/>
      <c r="B809" s="27"/>
      <c r="C809" s="9"/>
      <c r="D809" s="9"/>
      <c r="E809" s="38"/>
      <c r="F809" s="38"/>
    </row>
    <row r="810" ht="14.25" customHeight="1">
      <c r="A810" s="27"/>
      <c r="B810" s="27"/>
      <c r="C810" s="9"/>
      <c r="D810" s="9"/>
      <c r="E810" s="38"/>
      <c r="F810" s="38"/>
    </row>
    <row r="811" ht="14.25" customHeight="1">
      <c r="A811" s="27"/>
      <c r="B811" s="27"/>
      <c r="C811" s="9"/>
      <c r="D811" s="9"/>
      <c r="E811" s="38"/>
      <c r="F811" s="38"/>
    </row>
    <row r="812" ht="14.25" customHeight="1">
      <c r="A812" s="27"/>
      <c r="B812" s="27"/>
      <c r="C812" s="9"/>
      <c r="D812" s="9"/>
      <c r="E812" s="38"/>
      <c r="F812" s="38"/>
    </row>
    <row r="813" ht="14.25" customHeight="1">
      <c r="A813" s="27"/>
      <c r="B813" s="27"/>
      <c r="C813" s="9"/>
      <c r="D813" s="9"/>
      <c r="E813" s="38"/>
      <c r="F813" s="38"/>
    </row>
    <row r="814" ht="14.25" customHeight="1">
      <c r="A814" s="27"/>
      <c r="B814" s="27"/>
      <c r="C814" s="9"/>
      <c r="D814" s="9"/>
      <c r="E814" s="38"/>
      <c r="F814" s="38"/>
    </row>
    <row r="815" ht="14.25" customHeight="1">
      <c r="A815" s="27"/>
      <c r="B815" s="27"/>
      <c r="C815" s="9"/>
      <c r="D815" s="9"/>
      <c r="E815" s="38"/>
      <c r="F815" s="38"/>
    </row>
    <row r="816" ht="14.25" customHeight="1">
      <c r="A816" s="27"/>
      <c r="B816" s="27"/>
      <c r="C816" s="9"/>
      <c r="D816" s="9"/>
      <c r="E816" s="38"/>
      <c r="F816" s="38"/>
    </row>
    <row r="817" ht="14.25" customHeight="1">
      <c r="A817" s="27"/>
      <c r="B817" s="27"/>
      <c r="C817" s="9"/>
      <c r="D817" s="9"/>
      <c r="E817" s="38"/>
      <c r="F817" s="38"/>
    </row>
    <row r="818" ht="14.25" customHeight="1">
      <c r="A818" s="27"/>
      <c r="B818" s="27"/>
      <c r="C818" s="9"/>
      <c r="D818" s="9"/>
      <c r="E818" s="38"/>
      <c r="F818" s="38"/>
    </row>
    <row r="819" ht="14.25" customHeight="1">
      <c r="A819" s="27"/>
      <c r="B819" s="27"/>
      <c r="C819" s="9"/>
      <c r="D819" s="9"/>
      <c r="E819" s="38"/>
      <c r="F819" s="38"/>
    </row>
    <row r="820" ht="14.25" customHeight="1">
      <c r="A820" s="27"/>
      <c r="B820" s="27"/>
      <c r="C820" s="9"/>
      <c r="D820" s="9"/>
      <c r="E820" s="38"/>
      <c r="F820" s="38"/>
    </row>
    <row r="821" ht="14.25" customHeight="1">
      <c r="A821" s="27"/>
      <c r="B821" s="27"/>
      <c r="C821" s="9"/>
      <c r="D821" s="9"/>
      <c r="E821" s="38"/>
      <c r="F821" s="38"/>
    </row>
    <row r="822" ht="14.25" customHeight="1">
      <c r="A822" s="27"/>
      <c r="B822" s="27"/>
      <c r="C822" s="9"/>
      <c r="D822" s="9"/>
      <c r="E822" s="38"/>
      <c r="F822" s="38"/>
    </row>
    <row r="823" ht="14.25" customHeight="1">
      <c r="A823" s="27"/>
      <c r="B823" s="27"/>
      <c r="C823" s="9"/>
      <c r="D823" s="9"/>
      <c r="E823" s="38"/>
      <c r="F823" s="38"/>
    </row>
    <row r="824" ht="14.25" customHeight="1">
      <c r="A824" s="27"/>
      <c r="B824" s="27"/>
      <c r="C824" s="9"/>
      <c r="D824" s="9"/>
      <c r="E824" s="38"/>
      <c r="F824" s="38"/>
    </row>
    <row r="825" ht="14.25" customHeight="1">
      <c r="A825" s="27"/>
      <c r="B825" s="27"/>
      <c r="C825" s="9"/>
      <c r="D825" s="9"/>
      <c r="E825" s="38"/>
      <c r="F825" s="38"/>
    </row>
    <row r="826" ht="14.25" customHeight="1">
      <c r="A826" s="27"/>
      <c r="B826" s="27"/>
      <c r="C826" s="9"/>
      <c r="D826" s="9"/>
      <c r="E826" s="38"/>
      <c r="F826" s="38"/>
    </row>
    <row r="827" ht="14.25" customHeight="1">
      <c r="A827" s="27"/>
      <c r="B827" s="27"/>
      <c r="C827" s="9"/>
      <c r="D827" s="9"/>
      <c r="E827" s="38"/>
      <c r="F827" s="38"/>
    </row>
    <row r="828" ht="14.25" customHeight="1">
      <c r="A828" s="27"/>
      <c r="B828" s="27"/>
      <c r="C828" s="9"/>
      <c r="D828" s="9"/>
      <c r="E828" s="38"/>
      <c r="F828" s="38"/>
    </row>
    <row r="829" ht="14.25" customHeight="1">
      <c r="A829" s="27"/>
      <c r="B829" s="27"/>
      <c r="C829" s="9"/>
      <c r="D829" s="9"/>
      <c r="E829" s="38"/>
      <c r="F829" s="38"/>
    </row>
    <row r="830" ht="14.25" customHeight="1">
      <c r="A830" s="27"/>
      <c r="B830" s="27"/>
      <c r="C830" s="9"/>
      <c r="D830" s="9"/>
      <c r="E830" s="38"/>
      <c r="F830" s="38"/>
    </row>
    <row r="831" ht="14.25" customHeight="1">
      <c r="A831" s="27"/>
      <c r="B831" s="27"/>
      <c r="C831" s="9"/>
      <c r="D831" s="9"/>
      <c r="E831" s="38"/>
      <c r="F831" s="38"/>
    </row>
    <row r="832" ht="14.25" customHeight="1">
      <c r="A832" s="27"/>
      <c r="B832" s="27"/>
      <c r="C832" s="9"/>
      <c r="D832" s="9"/>
      <c r="E832" s="38"/>
      <c r="F832" s="38"/>
    </row>
    <row r="833" ht="14.25" customHeight="1">
      <c r="A833" s="27"/>
      <c r="B833" s="27"/>
      <c r="C833" s="9"/>
      <c r="D833" s="9"/>
      <c r="E833" s="38"/>
      <c r="F833" s="38"/>
    </row>
    <row r="834" ht="14.25" customHeight="1">
      <c r="A834" s="27"/>
      <c r="B834" s="27"/>
      <c r="C834" s="9"/>
      <c r="D834" s="9"/>
      <c r="E834" s="38"/>
      <c r="F834" s="38"/>
    </row>
    <row r="835" ht="14.25" customHeight="1">
      <c r="A835" s="27"/>
      <c r="B835" s="27"/>
      <c r="C835" s="9"/>
      <c r="D835" s="9"/>
      <c r="E835" s="38"/>
      <c r="F835" s="38"/>
    </row>
    <row r="836" ht="14.25" customHeight="1">
      <c r="A836" s="27"/>
      <c r="B836" s="27"/>
      <c r="C836" s="9"/>
      <c r="D836" s="9"/>
      <c r="E836" s="38"/>
      <c r="F836" s="38"/>
    </row>
    <row r="837" ht="14.25" customHeight="1">
      <c r="A837" s="27"/>
      <c r="B837" s="27"/>
      <c r="C837" s="9"/>
      <c r="D837" s="9"/>
      <c r="E837" s="38"/>
      <c r="F837" s="38"/>
    </row>
    <row r="838" ht="14.25" customHeight="1">
      <c r="A838" s="27"/>
      <c r="B838" s="27"/>
      <c r="C838" s="9"/>
      <c r="D838" s="9"/>
      <c r="E838" s="38"/>
      <c r="F838" s="38"/>
    </row>
    <row r="839" ht="14.25" customHeight="1">
      <c r="A839" s="27"/>
      <c r="B839" s="27"/>
      <c r="C839" s="9"/>
      <c r="D839" s="9"/>
      <c r="E839" s="38"/>
      <c r="F839" s="38"/>
    </row>
    <row r="840" ht="14.25" customHeight="1">
      <c r="A840" s="27"/>
      <c r="B840" s="27"/>
      <c r="C840" s="9"/>
      <c r="D840" s="9"/>
      <c r="E840" s="38"/>
      <c r="F840" s="38"/>
    </row>
    <row r="841" ht="14.25" customHeight="1">
      <c r="A841" s="27"/>
      <c r="B841" s="27"/>
      <c r="C841" s="9"/>
      <c r="D841" s="9"/>
      <c r="E841" s="38"/>
      <c r="F841" s="38"/>
    </row>
    <row r="842" ht="14.25" customHeight="1">
      <c r="A842" s="27"/>
      <c r="B842" s="27"/>
      <c r="C842" s="9"/>
      <c r="D842" s="9"/>
      <c r="E842" s="38"/>
      <c r="F842" s="38"/>
    </row>
    <row r="843" ht="14.25" customHeight="1">
      <c r="A843" s="27"/>
      <c r="B843" s="27"/>
      <c r="C843" s="9"/>
      <c r="D843" s="9"/>
      <c r="E843" s="38"/>
      <c r="F843" s="38"/>
    </row>
    <row r="844" ht="14.25" customHeight="1">
      <c r="A844" s="27"/>
      <c r="B844" s="27"/>
      <c r="C844" s="9"/>
      <c r="D844" s="9"/>
      <c r="E844" s="38"/>
      <c r="F844" s="38"/>
    </row>
    <row r="845" ht="14.25" customHeight="1">
      <c r="A845" s="27"/>
      <c r="B845" s="27"/>
      <c r="C845" s="9"/>
      <c r="D845" s="9"/>
      <c r="E845" s="38"/>
      <c r="F845" s="38"/>
    </row>
    <row r="846" ht="14.25" customHeight="1">
      <c r="A846" s="27"/>
      <c r="B846" s="27"/>
      <c r="C846" s="9"/>
      <c r="D846" s="9"/>
      <c r="E846" s="38"/>
      <c r="F846" s="38"/>
    </row>
    <row r="847" ht="14.25" customHeight="1">
      <c r="A847" s="27"/>
      <c r="B847" s="27"/>
      <c r="C847" s="9"/>
      <c r="D847" s="9"/>
      <c r="E847" s="38"/>
      <c r="F847" s="38"/>
    </row>
    <row r="848" ht="14.25" customHeight="1">
      <c r="A848" s="27"/>
      <c r="B848" s="27"/>
      <c r="C848" s="9"/>
      <c r="D848" s="9"/>
      <c r="E848" s="38"/>
      <c r="F848" s="38"/>
    </row>
    <row r="849" ht="14.25" customHeight="1">
      <c r="A849" s="27"/>
      <c r="B849" s="27"/>
      <c r="C849" s="9"/>
      <c r="D849" s="9"/>
      <c r="E849" s="38"/>
      <c r="F849" s="38"/>
    </row>
    <row r="850" ht="14.25" customHeight="1">
      <c r="A850" s="27"/>
      <c r="B850" s="27"/>
      <c r="C850" s="9"/>
      <c r="D850" s="9"/>
      <c r="E850" s="38"/>
      <c r="F850" s="38"/>
    </row>
    <row r="851" ht="14.25" customHeight="1">
      <c r="A851" s="27"/>
      <c r="B851" s="27"/>
      <c r="C851" s="9"/>
      <c r="D851" s="9"/>
      <c r="E851" s="38"/>
      <c r="F851" s="38"/>
    </row>
    <row r="852" ht="14.25" customHeight="1">
      <c r="A852" s="27"/>
      <c r="B852" s="27"/>
      <c r="C852" s="9"/>
      <c r="D852" s="9"/>
      <c r="E852" s="38"/>
      <c r="F852" s="38"/>
    </row>
    <row r="853" ht="14.25" customHeight="1">
      <c r="A853" s="27"/>
      <c r="B853" s="27"/>
      <c r="C853" s="9"/>
      <c r="D853" s="9"/>
      <c r="E853" s="38"/>
      <c r="F853" s="38"/>
    </row>
    <row r="854" ht="14.25" customHeight="1">
      <c r="A854" s="27"/>
      <c r="B854" s="27"/>
      <c r="C854" s="9"/>
      <c r="D854" s="9"/>
      <c r="E854" s="38"/>
      <c r="F854" s="38"/>
    </row>
    <row r="855" ht="14.25" customHeight="1">
      <c r="A855" s="27"/>
      <c r="B855" s="27"/>
      <c r="C855" s="9"/>
      <c r="D855" s="9"/>
      <c r="E855" s="38"/>
      <c r="F855" s="38"/>
    </row>
    <row r="856" ht="14.25" customHeight="1">
      <c r="A856" s="27"/>
      <c r="B856" s="27"/>
      <c r="C856" s="9"/>
      <c r="D856" s="9"/>
      <c r="E856" s="38"/>
      <c r="F856" s="38"/>
    </row>
    <row r="857" ht="14.25" customHeight="1">
      <c r="A857" s="27"/>
      <c r="B857" s="27"/>
      <c r="C857" s="9"/>
      <c r="D857" s="9"/>
      <c r="E857" s="38"/>
      <c r="F857" s="38"/>
    </row>
    <row r="858" ht="14.25" customHeight="1">
      <c r="A858" s="27"/>
      <c r="B858" s="27"/>
      <c r="C858" s="9"/>
      <c r="D858" s="9"/>
      <c r="E858" s="38"/>
      <c r="F858" s="38"/>
    </row>
    <row r="859" ht="14.25" customHeight="1">
      <c r="A859" s="27"/>
      <c r="B859" s="27"/>
      <c r="C859" s="9"/>
      <c r="D859" s="9"/>
      <c r="E859" s="38"/>
      <c r="F859" s="38"/>
    </row>
    <row r="860" ht="14.25" customHeight="1">
      <c r="A860" s="27"/>
      <c r="B860" s="27"/>
      <c r="C860" s="9"/>
      <c r="D860" s="9"/>
      <c r="E860" s="38"/>
      <c r="F860" s="38"/>
    </row>
    <row r="861" ht="14.25" customHeight="1">
      <c r="A861" s="27"/>
      <c r="B861" s="27"/>
      <c r="C861" s="9"/>
      <c r="D861" s="9"/>
      <c r="E861" s="38"/>
      <c r="F861" s="38"/>
    </row>
    <row r="862" ht="14.25" customHeight="1">
      <c r="A862" s="27"/>
      <c r="B862" s="27"/>
      <c r="C862" s="9"/>
      <c r="D862" s="9"/>
      <c r="E862" s="38"/>
      <c r="F862" s="38"/>
    </row>
    <row r="863" ht="14.25" customHeight="1">
      <c r="A863" s="27"/>
      <c r="B863" s="27"/>
      <c r="C863" s="9"/>
      <c r="D863" s="9"/>
      <c r="E863" s="38"/>
      <c r="F863" s="38"/>
    </row>
    <row r="864" ht="14.25" customHeight="1">
      <c r="A864" s="27"/>
      <c r="B864" s="27"/>
      <c r="C864" s="9"/>
      <c r="D864" s="9"/>
      <c r="E864" s="38"/>
      <c r="F864" s="38"/>
    </row>
    <row r="865" ht="14.25" customHeight="1">
      <c r="A865" s="27"/>
      <c r="B865" s="27"/>
      <c r="C865" s="9"/>
      <c r="D865" s="9"/>
      <c r="E865" s="38"/>
      <c r="F865" s="38"/>
    </row>
    <row r="866" ht="14.25" customHeight="1">
      <c r="A866" s="27"/>
      <c r="B866" s="27"/>
      <c r="C866" s="9"/>
      <c r="D866" s="9"/>
      <c r="E866" s="38"/>
      <c r="F866" s="38"/>
    </row>
    <row r="867" ht="14.25" customHeight="1">
      <c r="A867" s="27"/>
      <c r="B867" s="27"/>
      <c r="C867" s="9"/>
      <c r="D867" s="9"/>
      <c r="E867" s="38"/>
      <c r="F867" s="38"/>
    </row>
    <row r="868" ht="14.25" customHeight="1">
      <c r="A868" s="27"/>
      <c r="B868" s="27"/>
      <c r="C868" s="9"/>
      <c r="D868" s="9"/>
      <c r="E868" s="38"/>
      <c r="F868" s="38"/>
    </row>
    <row r="869" ht="14.25" customHeight="1">
      <c r="A869" s="27"/>
      <c r="B869" s="27"/>
      <c r="C869" s="9"/>
      <c r="D869" s="9"/>
      <c r="E869" s="38"/>
      <c r="F869" s="38"/>
    </row>
    <row r="870" ht="14.25" customHeight="1">
      <c r="A870" s="27"/>
      <c r="B870" s="27"/>
      <c r="C870" s="9"/>
      <c r="D870" s="9"/>
      <c r="E870" s="38"/>
      <c r="F870" s="38"/>
    </row>
    <row r="871" ht="14.25" customHeight="1">
      <c r="A871" s="27"/>
      <c r="B871" s="27"/>
      <c r="C871" s="9"/>
      <c r="D871" s="9"/>
      <c r="E871" s="38"/>
      <c r="F871" s="38"/>
    </row>
    <row r="872" ht="14.25" customHeight="1">
      <c r="A872" s="27"/>
      <c r="B872" s="27"/>
      <c r="C872" s="9"/>
      <c r="D872" s="9"/>
      <c r="E872" s="38"/>
      <c r="F872" s="38"/>
    </row>
    <row r="873" ht="14.25" customHeight="1">
      <c r="A873" s="27"/>
      <c r="B873" s="27"/>
      <c r="C873" s="9"/>
      <c r="D873" s="9"/>
      <c r="E873" s="38"/>
      <c r="F873" s="38"/>
    </row>
    <row r="874" ht="14.25" customHeight="1">
      <c r="A874" s="27"/>
      <c r="B874" s="27"/>
      <c r="C874" s="9"/>
      <c r="D874" s="9"/>
      <c r="E874" s="38"/>
      <c r="F874" s="38"/>
    </row>
    <row r="875" ht="14.25" customHeight="1">
      <c r="A875" s="27"/>
      <c r="B875" s="27"/>
      <c r="C875" s="9"/>
      <c r="D875" s="9"/>
      <c r="E875" s="38"/>
      <c r="F875" s="38"/>
    </row>
    <row r="876" ht="14.25" customHeight="1">
      <c r="A876" s="27"/>
      <c r="B876" s="27"/>
      <c r="C876" s="9"/>
      <c r="D876" s="9"/>
      <c r="E876" s="38"/>
      <c r="F876" s="38"/>
    </row>
    <row r="877" ht="14.25" customHeight="1">
      <c r="A877" s="27"/>
      <c r="B877" s="27"/>
      <c r="C877" s="9"/>
      <c r="D877" s="9"/>
      <c r="E877" s="38"/>
      <c r="F877" s="38"/>
    </row>
    <row r="878" ht="14.25" customHeight="1">
      <c r="A878" s="27"/>
      <c r="B878" s="27"/>
      <c r="C878" s="9"/>
      <c r="D878" s="9"/>
      <c r="E878" s="38"/>
      <c r="F878" s="38"/>
    </row>
    <row r="879" ht="14.25" customHeight="1">
      <c r="A879" s="27"/>
      <c r="B879" s="27"/>
      <c r="C879" s="9"/>
      <c r="D879" s="9"/>
      <c r="E879" s="38"/>
      <c r="F879" s="38"/>
    </row>
    <row r="880" ht="14.25" customHeight="1">
      <c r="A880" s="27"/>
      <c r="B880" s="27"/>
      <c r="C880" s="9"/>
      <c r="D880" s="9"/>
      <c r="E880" s="38"/>
      <c r="F880" s="38"/>
    </row>
    <row r="881" ht="14.25" customHeight="1">
      <c r="A881" s="27"/>
      <c r="B881" s="27"/>
      <c r="C881" s="9"/>
      <c r="D881" s="9"/>
      <c r="E881" s="38"/>
      <c r="F881" s="38"/>
    </row>
    <row r="882" ht="14.25" customHeight="1">
      <c r="A882" s="27"/>
      <c r="B882" s="27"/>
      <c r="C882" s="9"/>
      <c r="D882" s="9"/>
      <c r="E882" s="38"/>
      <c r="F882" s="38"/>
    </row>
    <row r="883" ht="14.25" customHeight="1">
      <c r="A883" s="27"/>
      <c r="B883" s="27"/>
      <c r="C883" s="9"/>
      <c r="D883" s="9"/>
      <c r="E883" s="38"/>
      <c r="F883" s="38"/>
    </row>
    <row r="884" ht="14.25" customHeight="1">
      <c r="A884" s="27"/>
      <c r="B884" s="27"/>
      <c r="C884" s="9"/>
      <c r="D884" s="9"/>
      <c r="E884" s="38"/>
      <c r="F884" s="38"/>
    </row>
    <row r="885" ht="14.25" customHeight="1">
      <c r="A885" s="27"/>
      <c r="B885" s="27"/>
      <c r="C885" s="9"/>
      <c r="D885" s="9"/>
      <c r="E885" s="38"/>
      <c r="F885" s="38"/>
    </row>
    <row r="886" ht="14.25" customHeight="1">
      <c r="A886" s="27"/>
      <c r="B886" s="27"/>
      <c r="C886" s="9"/>
      <c r="D886" s="9"/>
      <c r="E886" s="38"/>
      <c r="F886" s="38"/>
    </row>
    <row r="887" ht="14.25" customHeight="1">
      <c r="A887" s="27"/>
      <c r="B887" s="27"/>
      <c r="C887" s="9"/>
      <c r="D887" s="9"/>
      <c r="E887" s="38"/>
      <c r="F887" s="38"/>
    </row>
    <row r="888" ht="14.25" customHeight="1">
      <c r="A888" s="27"/>
      <c r="B888" s="27"/>
      <c r="C888" s="9"/>
      <c r="D888" s="9"/>
      <c r="E888" s="38"/>
      <c r="F888" s="38"/>
    </row>
    <row r="889" ht="14.25" customHeight="1">
      <c r="A889" s="27"/>
      <c r="B889" s="27"/>
      <c r="C889" s="9"/>
      <c r="D889" s="9"/>
      <c r="E889" s="38"/>
      <c r="F889" s="38"/>
    </row>
    <row r="890" ht="14.25" customHeight="1">
      <c r="A890" s="27"/>
      <c r="B890" s="27"/>
      <c r="C890" s="9"/>
      <c r="D890" s="9"/>
      <c r="E890" s="38"/>
      <c r="F890" s="38"/>
    </row>
    <row r="891" ht="14.25" customHeight="1">
      <c r="A891" s="27"/>
      <c r="B891" s="27"/>
      <c r="C891" s="9"/>
      <c r="D891" s="9"/>
      <c r="E891" s="38"/>
      <c r="F891" s="38"/>
    </row>
    <row r="892" ht="14.25" customHeight="1">
      <c r="A892" s="27"/>
      <c r="B892" s="27"/>
      <c r="C892" s="9"/>
      <c r="D892" s="9"/>
      <c r="E892" s="38"/>
      <c r="F892" s="38"/>
    </row>
    <row r="893" ht="14.25" customHeight="1">
      <c r="A893" s="27"/>
      <c r="B893" s="27"/>
      <c r="C893" s="9"/>
      <c r="D893" s="9"/>
      <c r="E893" s="38"/>
      <c r="F893" s="38"/>
    </row>
    <row r="894" ht="14.25" customHeight="1">
      <c r="A894" s="27"/>
      <c r="B894" s="27"/>
      <c r="C894" s="9"/>
      <c r="D894" s="9"/>
      <c r="E894" s="38"/>
      <c r="F894" s="38"/>
    </row>
    <row r="895" ht="14.25" customHeight="1">
      <c r="A895" s="27"/>
      <c r="B895" s="27"/>
      <c r="C895" s="9"/>
      <c r="D895" s="9"/>
      <c r="E895" s="38"/>
      <c r="F895" s="38"/>
    </row>
    <row r="896" ht="14.25" customHeight="1">
      <c r="A896" s="27"/>
      <c r="B896" s="27"/>
      <c r="C896" s="9"/>
      <c r="D896" s="9"/>
      <c r="E896" s="38"/>
      <c r="F896" s="38"/>
    </row>
    <row r="897" ht="14.25" customHeight="1">
      <c r="A897" s="27"/>
      <c r="B897" s="27"/>
      <c r="C897" s="9"/>
      <c r="D897" s="9"/>
      <c r="E897" s="38"/>
      <c r="F897" s="38"/>
    </row>
    <row r="898" ht="14.25" customHeight="1">
      <c r="A898" s="27"/>
      <c r="B898" s="27"/>
      <c r="C898" s="9"/>
      <c r="D898" s="9"/>
      <c r="E898" s="38"/>
      <c r="F898" s="38"/>
    </row>
    <row r="899" ht="14.25" customHeight="1">
      <c r="A899" s="27"/>
      <c r="B899" s="27"/>
      <c r="C899" s="9"/>
      <c r="D899" s="9"/>
      <c r="E899" s="38"/>
      <c r="F899" s="38"/>
    </row>
    <row r="900" ht="14.25" customHeight="1">
      <c r="A900" s="27"/>
      <c r="B900" s="27"/>
      <c r="C900" s="9"/>
      <c r="D900" s="9"/>
      <c r="E900" s="38"/>
      <c r="F900" s="38"/>
    </row>
    <row r="901" ht="14.25" customHeight="1">
      <c r="A901" s="27"/>
      <c r="B901" s="27"/>
      <c r="C901" s="9"/>
      <c r="D901" s="9"/>
      <c r="E901" s="38"/>
      <c r="F901" s="38"/>
    </row>
    <row r="902" ht="14.25" customHeight="1">
      <c r="A902" s="27"/>
      <c r="B902" s="27"/>
      <c r="C902" s="9"/>
      <c r="D902" s="9"/>
      <c r="E902" s="38"/>
      <c r="F902" s="38"/>
    </row>
    <row r="903" ht="14.25" customHeight="1">
      <c r="A903" s="27"/>
      <c r="B903" s="27"/>
      <c r="C903" s="9"/>
      <c r="D903" s="9"/>
      <c r="E903" s="38"/>
      <c r="F903" s="38"/>
    </row>
    <row r="904" ht="14.25" customHeight="1">
      <c r="A904" s="27"/>
      <c r="B904" s="27"/>
      <c r="C904" s="9"/>
      <c r="D904" s="9"/>
      <c r="E904" s="38"/>
      <c r="F904" s="38"/>
    </row>
    <row r="905" ht="14.25" customHeight="1">
      <c r="A905" s="27"/>
      <c r="B905" s="27"/>
      <c r="C905" s="9"/>
      <c r="D905" s="9"/>
      <c r="E905" s="38"/>
      <c r="F905" s="38"/>
    </row>
    <row r="906" ht="14.25" customHeight="1">
      <c r="A906" s="27"/>
      <c r="B906" s="27"/>
      <c r="C906" s="9"/>
      <c r="D906" s="9"/>
      <c r="E906" s="38"/>
      <c r="F906" s="38"/>
    </row>
    <row r="907" ht="14.25" customHeight="1">
      <c r="A907" s="27"/>
      <c r="B907" s="27"/>
      <c r="C907" s="9"/>
      <c r="D907" s="9"/>
      <c r="E907" s="38"/>
      <c r="F907" s="38"/>
    </row>
    <row r="908" ht="14.25" customHeight="1">
      <c r="A908" s="27"/>
      <c r="B908" s="27"/>
      <c r="C908" s="9"/>
      <c r="D908" s="9"/>
      <c r="E908" s="38"/>
      <c r="F908" s="38"/>
    </row>
    <row r="909" ht="14.25" customHeight="1">
      <c r="A909" s="27"/>
      <c r="B909" s="27"/>
      <c r="C909" s="9"/>
      <c r="D909" s="9"/>
      <c r="E909" s="38"/>
      <c r="F909" s="38"/>
    </row>
    <row r="910" ht="14.25" customHeight="1">
      <c r="A910" s="27"/>
      <c r="B910" s="27"/>
      <c r="C910" s="9"/>
      <c r="D910" s="9"/>
      <c r="E910" s="38"/>
      <c r="F910" s="38"/>
    </row>
    <row r="911" ht="14.25" customHeight="1">
      <c r="A911" s="27"/>
      <c r="B911" s="27"/>
      <c r="C911" s="9"/>
      <c r="D911" s="9"/>
      <c r="E911" s="38"/>
      <c r="F911" s="38"/>
    </row>
    <row r="912" ht="14.25" customHeight="1">
      <c r="A912" s="27"/>
      <c r="B912" s="27"/>
      <c r="C912" s="9"/>
      <c r="D912" s="9"/>
      <c r="E912" s="38"/>
      <c r="F912" s="38"/>
    </row>
    <row r="913" ht="14.25" customHeight="1">
      <c r="A913" s="27"/>
      <c r="B913" s="27"/>
      <c r="C913" s="9"/>
      <c r="D913" s="9"/>
      <c r="E913" s="38"/>
      <c r="F913" s="38"/>
    </row>
    <row r="914" ht="14.25" customHeight="1">
      <c r="A914" s="27"/>
      <c r="B914" s="27"/>
      <c r="C914" s="9"/>
      <c r="D914" s="9"/>
      <c r="E914" s="38"/>
      <c r="F914" s="38"/>
    </row>
    <row r="915" ht="14.25" customHeight="1">
      <c r="A915" s="27"/>
      <c r="B915" s="27"/>
      <c r="C915" s="9"/>
      <c r="D915" s="9"/>
      <c r="E915" s="38"/>
      <c r="F915" s="38"/>
    </row>
    <row r="916" ht="14.25" customHeight="1">
      <c r="A916" s="27"/>
      <c r="B916" s="27"/>
      <c r="C916" s="9"/>
      <c r="D916" s="9"/>
      <c r="E916" s="38"/>
      <c r="F916" s="38"/>
    </row>
    <row r="917" ht="14.25" customHeight="1">
      <c r="A917" s="27"/>
      <c r="B917" s="27"/>
      <c r="C917" s="9"/>
      <c r="D917" s="9"/>
      <c r="E917" s="38"/>
      <c r="F917" s="38"/>
    </row>
    <row r="918" ht="14.25" customHeight="1">
      <c r="A918" s="27"/>
      <c r="B918" s="27"/>
      <c r="C918" s="9"/>
      <c r="D918" s="9"/>
      <c r="E918" s="38"/>
      <c r="F918" s="38"/>
    </row>
    <row r="919" ht="14.25" customHeight="1">
      <c r="A919" s="27"/>
      <c r="B919" s="27"/>
      <c r="C919" s="9"/>
      <c r="D919" s="9"/>
      <c r="E919" s="38"/>
      <c r="F919" s="38"/>
    </row>
    <row r="920" ht="14.25" customHeight="1">
      <c r="A920" s="27"/>
      <c r="B920" s="27"/>
      <c r="C920" s="9"/>
      <c r="D920" s="9"/>
      <c r="E920" s="38"/>
      <c r="F920" s="38"/>
    </row>
    <row r="921" ht="14.25" customHeight="1">
      <c r="A921" s="27"/>
      <c r="B921" s="27"/>
      <c r="C921" s="9"/>
      <c r="D921" s="9"/>
      <c r="E921" s="38"/>
      <c r="F921" s="38"/>
    </row>
    <row r="922" ht="14.25" customHeight="1">
      <c r="A922" s="27"/>
      <c r="B922" s="27"/>
      <c r="C922" s="9"/>
      <c r="D922" s="9"/>
      <c r="E922" s="38"/>
      <c r="F922" s="38"/>
    </row>
    <row r="923" ht="14.25" customHeight="1">
      <c r="A923" s="27"/>
      <c r="B923" s="27"/>
      <c r="C923" s="9"/>
      <c r="D923" s="9"/>
      <c r="E923" s="38"/>
      <c r="F923" s="38"/>
    </row>
    <row r="924" ht="14.25" customHeight="1">
      <c r="A924" s="27"/>
      <c r="B924" s="27"/>
      <c r="C924" s="9"/>
      <c r="D924" s="9"/>
      <c r="E924" s="38"/>
      <c r="F924" s="38"/>
    </row>
    <row r="925" ht="14.25" customHeight="1">
      <c r="A925" s="27"/>
      <c r="B925" s="27"/>
      <c r="C925" s="9"/>
      <c r="D925" s="9"/>
      <c r="E925" s="38"/>
      <c r="F925" s="38"/>
    </row>
    <row r="926" ht="14.25" customHeight="1">
      <c r="A926" s="27"/>
      <c r="B926" s="27"/>
      <c r="C926" s="9"/>
      <c r="D926" s="9"/>
      <c r="E926" s="38"/>
      <c r="F926" s="38"/>
    </row>
    <row r="927" ht="14.25" customHeight="1">
      <c r="A927" s="27"/>
      <c r="B927" s="27"/>
      <c r="C927" s="9"/>
      <c r="D927" s="9"/>
      <c r="E927" s="38"/>
      <c r="F927" s="38"/>
    </row>
    <row r="928" ht="14.25" customHeight="1">
      <c r="A928" s="27"/>
      <c r="B928" s="27"/>
      <c r="C928" s="9"/>
      <c r="D928" s="9"/>
      <c r="E928" s="38"/>
      <c r="F928" s="38"/>
    </row>
    <row r="929" ht="14.25" customHeight="1">
      <c r="A929" s="27"/>
      <c r="B929" s="27"/>
      <c r="C929" s="9"/>
      <c r="D929" s="9"/>
      <c r="E929" s="38"/>
      <c r="F929" s="38"/>
    </row>
    <row r="930" ht="14.25" customHeight="1">
      <c r="A930" s="27"/>
      <c r="B930" s="27"/>
      <c r="C930" s="9"/>
      <c r="D930" s="9"/>
      <c r="E930" s="38"/>
      <c r="F930" s="38"/>
    </row>
    <row r="931" ht="14.25" customHeight="1">
      <c r="A931" s="27"/>
      <c r="B931" s="27"/>
      <c r="C931" s="9"/>
      <c r="D931" s="9"/>
      <c r="E931" s="38"/>
      <c r="F931" s="38"/>
    </row>
    <row r="932" ht="14.25" customHeight="1">
      <c r="A932" s="27"/>
      <c r="B932" s="27"/>
      <c r="C932" s="9"/>
      <c r="D932" s="9"/>
      <c r="E932" s="38"/>
      <c r="F932" s="38"/>
    </row>
    <row r="933" ht="14.25" customHeight="1">
      <c r="A933" s="27"/>
      <c r="B933" s="27"/>
      <c r="C933" s="9"/>
      <c r="D933" s="9"/>
      <c r="E933" s="38"/>
      <c r="F933" s="38"/>
    </row>
    <row r="934" ht="14.25" customHeight="1">
      <c r="A934" s="27"/>
      <c r="B934" s="27"/>
      <c r="C934" s="9"/>
      <c r="D934" s="9"/>
      <c r="E934" s="38"/>
      <c r="F934" s="38"/>
    </row>
    <row r="935" ht="14.25" customHeight="1">
      <c r="A935" s="27"/>
      <c r="B935" s="27"/>
      <c r="C935" s="9"/>
      <c r="D935" s="9"/>
      <c r="E935" s="38"/>
      <c r="F935" s="38"/>
    </row>
    <row r="936" ht="14.25" customHeight="1">
      <c r="A936" s="27"/>
      <c r="B936" s="27"/>
      <c r="C936" s="9"/>
      <c r="D936" s="9"/>
      <c r="E936" s="38"/>
      <c r="F936" s="38"/>
    </row>
    <row r="937" ht="14.25" customHeight="1">
      <c r="A937" s="27"/>
      <c r="B937" s="27"/>
      <c r="C937" s="9"/>
      <c r="D937" s="9"/>
      <c r="E937" s="38"/>
      <c r="F937" s="38"/>
    </row>
    <row r="938" ht="14.25" customHeight="1">
      <c r="A938" s="27"/>
      <c r="B938" s="27"/>
      <c r="C938" s="9"/>
      <c r="D938" s="9"/>
      <c r="E938" s="38"/>
      <c r="F938" s="38"/>
    </row>
    <row r="939" ht="14.25" customHeight="1">
      <c r="A939" s="27"/>
      <c r="B939" s="27"/>
      <c r="C939" s="9"/>
      <c r="D939" s="9"/>
      <c r="E939" s="38"/>
      <c r="F939" s="38"/>
    </row>
    <row r="940" ht="14.25" customHeight="1">
      <c r="A940" s="27"/>
      <c r="B940" s="27"/>
      <c r="C940" s="9"/>
      <c r="D940" s="9"/>
      <c r="E940" s="38"/>
      <c r="F940" s="38"/>
    </row>
    <row r="941" ht="14.25" customHeight="1">
      <c r="A941" s="27"/>
      <c r="B941" s="27"/>
      <c r="C941" s="9"/>
      <c r="D941" s="9"/>
      <c r="E941" s="38"/>
      <c r="F941" s="38"/>
    </row>
    <row r="942" ht="14.25" customHeight="1">
      <c r="A942" s="27"/>
      <c r="B942" s="27"/>
      <c r="C942" s="9"/>
      <c r="D942" s="9"/>
      <c r="E942" s="38"/>
      <c r="F942" s="38"/>
    </row>
    <row r="943" ht="14.25" customHeight="1">
      <c r="A943" s="27"/>
      <c r="B943" s="27"/>
      <c r="C943" s="9"/>
      <c r="D943" s="9"/>
      <c r="E943" s="38"/>
      <c r="F943" s="38"/>
    </row>
    <row r="944" ht="14.25" customHeight="1">
      <c r="A944" s="27"/>
      <c r="B944" s="27"/>
      <c r="C944" s="9"/>
      <c r="D944" s="9"/>
      <c r="E944" s="38"/>
      <c r="F944" s="38"/>
    </row>
    <row r="945" ht="14.25" customHeight="1">
      <c r="A945" s="27"/>
      <c r="B945" s="27"/>
      <c r="C945" s="9"/>
      <c r="D945" s="9"/>
      <c r="E945" s="38"/>
      <c r="F945" s="38"/>
    </row>
    <row r="946" ht="14.25" customHeight="1">
      <c r="A946" s="27"/>
      <c r="B946" s="27"/>
      <c r="C946" s="9"/>
      <c r="D946" s="9"/>
      <c r="E946" s="38"/>
      <c r="F946" s="38"/>
    </row>
    <row r="947" ht="14.25" customHeight="1">
      <c r="A947" s="27"/>
      <c r="B947" s="27"/>
      <c r="C947" s="9"/>
      <c r="D947" s="9"/>
      <c r="E947" s="38"/>
      <c r="F947" s="38"/>
    </row>
    <row r="948" ht="14.25" customHeight="1">
      <c r="A948" s="27"/>
      <c r="B948" s="27"/>
      <c r="C948" s="9"/>
      <c r="D948" s="9"/>
      <c r="E948" s="38"/>
      <c r="F948" s="38"/>
    </row>
  </sheetData>
  <autoFilter ref="$A$1:$Z$230"/>
  <conditionalFormatting sqref="I1:I948">
    <cfRule type="notContainsBlanks" dxfId="0" priority="1">
      <formula>LEN(TRIM(I1))&gt;0</formula>
    </cfRule>
  </conditionalFormatting>
  <hyperlinks>
    <hyperlink r:id="rId1" ref="G3"/>
    <hyperlink r:id="rId2" ref="G4"/>
    <hyperlink r:id="rId3" ref="G5"/>
    <hyperlink r:id="rId4" ref="G6"/>
    <hyperlink r:id="rId5" ref="G7"/>
    <hyperlink r:id="rId6" ref="Q7"/>
    <hyperlink r:id="rId7" ref="G8"/>
    <hyperlink r:id="rId8" ref="G9"/>
    <hyperlink r:id="rId9" ref="G10"/>
    <hyperlink r:id="rId10" ref="G11"/>
    <hyperlink r:id="rId11" ref="G12"/>
    <hyperlink r:id="rId12" ref="G13"/>
    <hyperlink r:id="rId13" ref="G14"/>
    <hyperlink r:id="rId14" ref="G15"/>
    <hyperlink r:id="rId15" ref="Q15"/>
    <hyperlink r:id="rId16" ref="G16"/>
    <hyperlink r:id="rId17" ref="G17"/>
    <hyperlink r:id="rId18" ref="G18"/>
    <hyperlink r:id="rId19" ref="G19"/>
    <hyperlink r:id="rId20" ref="G20"/>
    <hyperlink r:id="rId21" ref="G21"/>
    <hyperlink r:id="rId22" ref="G22"/>
    <hyperlink r:id="rId23" ref="G23"/>
    <hyperlink r:id="rId24" ref="G24"/>
    <hyperlink r:id="rId25" ref="G25"/>
    <hyperlink r:id="rId26" ref="G26"/>
    <hyperlink r:id="rId27" ref="G27"/>
    <hyperlink r:id="rId28" ref="G28"/>
    <hyperlink r:id="rId29" ref="G29"/>
    <hyperlink r:id="rId30" ref="G30"/>
    <hyperlink r:id="rId31" ref="G31"/>
    <hyperlink r:id="rId32" ref="G32"/>
    <hyperlink r:id="rId33" ref="G33"/>
    <hyperlink r:id="rId34" ref="G34"/>
    <hyperlink r:id="rId35" ref="G35"/>
    <hyperlink r:id="rId36" ref="G36"/>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 r:id="rId48" ref="G48"/>
    <hyperlink r:id="rId49" ref="G49"/>
    <hyperlink r:id="rId50" ref="G50"/>
    <hyperlink r:id="rId51" ref="G51"/>
    <hyperlink r:id="rId52" ref="G52"/>
    <hyperlink r:id="rId53" ref="G53"/>
    <hyperlink r:id="rId54" ref="G54"/>
    <hyperlink r:id="rId55" ref="G55"/>
    <hyperlink r:id="rId56" ref="G56"/>
    <hyperlink r:id="rId57" ref="G57"/>
    <hyperlink r:id="rId58" ref="G58"/>
    <hyperlink r:id="rId59" ref="G59"/>
    <hyperlink r:id="rId60" ref="G60"/>
    <hyperlink r:id="rId61" ref="G61"/>
    <hyperlink r:id="rId62" ref="G62"/>
    <hyperlink r:id="rId63" ref="G63"/>
    <hyperlink r:id="rId64" ref="G64"/>
    <hyperlink r:id="rId65" ref="G65"/>
    <hyperlink r:id="rId66" ref="G66"/>
    <hyperlink r:id="rId67" ref="G67"/>
    <hyperlink r:id="rId68" ref="G68"/>
    <hyperlink r:id="rId69" ref="G69"/>
    <hyperlink r:id="rId70" ref="G70"/>
    <hyperlink r:id="rId71" ref="G71"/>
    <hyperlink r:id="rId72" ref="G72"/>
    <hyperlink r:id="rId73" ref="G73"/>
    <hyperlink r:id="rId74" ref="G74"/>
    <hyperlink r:id="rId75" ref="G75"/>
    <hyperlink r:id="rId76" ref="G76"/>
    <hyperlink r:id="rId77" ref="G77"/>
    <hyperlink r:id="rId78" ref="G78"/>
    <hyperlink r:id="rId79" ref="G79"/>
    <hyperlink r:id="rId80" ref="G80"/>
    <hyperlink r:id="rId81" ref="G81"/>
    <hyperlink r:id="rId82" ref="G82"/>
    <hyperlink r:id="rId83" ref="G83"/>
    <hyperlink r:id="rId84" ref="G84"/>
    <hyperlink r:id="rId85" ref="G85"/>
    <hyperlink r:id="rId86" ref="G86"/>
    <hyperlink r:id="rId87" ref="G87"/>
    <hyperlink r:id="rId88" ref="G88"/>
    <hyperlink r:id="rId89" ref="G89"/>
    <hyperlink r:id="rId90" ref="G90"/>
    <hyperlink r:id="rId91" ref="G91"/>
    <hyperlink r:id="rId92" ref="G92"/>
    <hyperlink r:id="rId93" ref="G93"/>
    <hyperlink r:id="rId94" ref="G94"/>
    <hyperlink r:id="rId95" ref="G95"/>
    <hyperlink r:id="rId96" ref="G96"/>
    <hyperlink r:id="rId97" ref="G97"/>
    <hyperlink r:id="rId98" ref="G98"/>
    <hyperlink r:id="rId99" ref="G99"/>
    <hyperlink r:id="rId100" ref="Q99"/>
    <hyperlink r:id="rId101" ref="G100"/>
    <hyperlink r:id="rId102" ref="G101"/>
    <hyperlink r:id="rId103" ref="G102"/>
    <hyperlink r:id="rId104" ref="G103"/>
    <hyperlink r:id="rId105" ref="G104"/>
    <hyperlink r:id="rId106" ref="G105"/>
    <hyperlink r:id="rId107" ref="G106"/>
    <hyperlink r:id="rId108" ref="G107"/>
    <hyperlink r:id="rId109" ref="G108"/>
    <hyperlink r:id="rId110" ref="G109"/>
    <hyperlink r:id="rId111" ref="G110"/>
    <hyperlink r:id="rId112" ref="G111"/>
    <hyperlink r:id="rId113" ref="G112"/>
    <hyperlink r:id="rId114" ref="G113"/>
    <hyperlink r:id="rId115" ref="G114"/>
    <hyperlink r:id="rId116" ref="G115"/>
    <hyperlink r:id="rId117" ref="G116"/>
    <hyperlink r:id="rId118" ref="G117"/>
    <hyperlink r:id="rId119" ref="G118"/>
    <hyperlink r:id="rId120" ref="G119"/>
    <hyperlink r:id="rId121" ref="G120"/>
    <hyperlink r:id="rId122" ref="G121"/>
    <hyperlink r:id="rId123" ref="G122"/>
    <hyperlink r:id="rId124" ref="G123"/>
    <hyperlink r:id="rId125" ref="G124"/>
    <hyperlink r:id="rId126" ref="G125"/>
    <hyperlink r:id="rId127" ref="G126"/>
    <hyperlink r:id="rId128" ref="G127"/>
    <hyperlink r:id="rId129" ref="G128"/>
    <hyperlink r:id="rId130" ref="G129"/>
    <hyperlink r:id="rId131" ref="G130"/>
    <hyperlink r:id="rId132" ref="G131"/>
    <hyperlink r:id="rId133" ref="G132"/>
    <hyperlink r:id="rId134" ref="G133"/>
    <hyperlink r:id="rId135" ref="G134"/>
    <hyperlink r:id="rId136" ref="G135"/>
    <hyperlink r:id="rId137" ref="G136"/>
    <hyperlink r:id="rId138" ref="G137"/>
    <hyperlink r:id="rId139" ref="G138"/>
    <hyperlink r:id="rId140" ref="G139"/>
    <hyperlink r:id="rId141" ref="G140"/>
    <hyperlink r:id="rId142" ref="G141"/>
    <hyperlink r:id="rId143" ref="G142"/>
    <hyperlink r:id="rId144" ref="G143"/>
    <hyperlink r:id="rId145" ref="G144"/>
    <hyperlink r:id="rId146" ref="G145"/>
    <hyperlink r:id="rId147" ref="G146"/>
    <hyperlink r:id="rId148" ref="G147"/>
    <hyperlink r:id="rId149" ref="G148"/>
    <hyperlink r:id="rId150" ref="G149"/>
    <hyperlink r:id="rId151" ref="G150"/>
    <hyperlink r:id="rId152" ref="G151"/>
    <hyperlink r:id="rId153" ref="G152"/>
    <hyperlink r:id="rId154" ref="G153"/>
    <hyperlink r:id="rId155" ref="G154"/>
    <hyperlink r:id="rId156" ref="G155"/>
    <hyperlink r:id="rId157" ref="G156"/>
    <hyperlink r:id="rId158" ref="G157"/>
    <hyperlink r:id="rId159" ref="G158"/>
    <hyperlink r:id="rId160" ref="G159"/>
    <hyperlink r:id="rId161" ref="G160"/>
    <hyperlink r:id="rId162" ref="G161"/>
    <hyperlink r:id="rId163" ref="G162"/>
    <hyperlink r:id="rId164" ref="G163"/>
    <hyperlink r:id="rId165" ref="G164"/>
    <hyperlink r:id="rId166" ref="G165"/>
    <hyperlink r:id="rId167" ref="G166"/>
    <hyperlink r:id="rId168" ref="G167"/>
    <hyperlink r:id="rId169" ref="G168"/>
    <hyperlink r:id="rId170" ref="G169"/>
    <hyperlink r:id="rId171" ref="G170"/>
    <hyperlink r:id="rId172" ref="G171"/>
    <hyperlink r:id="rId173" ref="G172"/>
    <hyperlink r:id="rId174" ref="G173"/>
    <hyperlink r:id="rId175" ref="Q173"/>
    <hyperlink r:id="rId176" ref="G174"/>
    <hyperlink r:id="rId177" ref="Q174"/>
    <hyperlink r:id="rId178" ref="G175"/>
    <hyperlink r:id="rId179" ref="Q175"/>
    <hyperlink r:id="rId180" ref="G176"/>
    <hyperlink r:id="rId181" ref="Q176"/>
    <hyperlink r:id="rId182" ref="G177"/>
    <hyperlink r:id="rId183" ref="Q177"/>
    <hyperlink r:id="rId184" ref="G178"/>
    <hyperlink r:id="rId185" ref="Q178"/>
    <hyperlink r:id="rId186" ref="G179"/>
    <hyperlink r:id="rId187" ref="Q179"/>
    <hyperlink r:id="rId188" ref="G180"/>
    <hyperlink r:id="rId189" ref="Q180"/>
    <hyperlink r:id="rId190" ref="G181"/>
    <hyperlink r:id="rId191" ref="Q181"/>
    <hyperlink r:id="rId192" ref="G182"/>
    <hyperlink r:id="rId193" ref="Q182"/>
    <hyperlink r:id="rId194" ref="G183"/>
    <hyperlink r:id="rId195" ref="Q183"/>
    <hyperlink r:id="rId196" ref="G184"/>
    <hyperlink r:id="rId197" ref="Q184"/>
    <hyperlink r:id="rId198" ref="G185"/>
    <hyperlink r:id="rId199" ref="Q185"/>
    <hyperlink r:id="rId200" ref="G186"/>
    <hyperlink r:id="rId201" ref="Q186"/>
    <hyperlink r:id="rId202" ref="G187"/>
    <hyperlink r:id="rId203" ref="Q187"/>
    <hyperlink r:id="rId204" ref="G188"/>
    <hyperlink r:id="rId205" ref="Q188"/>
    <hyperlink r:id="rId206" ref="G189"/>
    <hyperlink r:id="rId207" ref="Q189"/>
    <hyperlink r:id="rId208" ref="G190"/>
    <hyperlink r:id="rId209" ref="Q190"/>
    <hyperlink r:id="rId210" ref="G191"/>
    <hyperlink r:id="rId211" ref="Q191"/>
    <hyperlink r:id="rId212" ref="G192"/>
    <hyperlink r:id="rId213" ref="Q192"/>
    <hyperlink r:id="rId214" ref="G193"/>
    <hyperlink r:id="rId215" ref="Q193"/>
    <hyperlink r:id="rId216" ref="G194"/>
    <hyperlink r:id="rId217" ref="Q194"/>
    <hyperlink r:id="rId218" ref="G195"/>
    <hyperlink r:id="rId219" ref="Q195"/>
    <hyperlink r:id="rId220" ref="G196"/>
    <hyperlink r:id="rId221" ref="Q196"/>
    <hyperlink r:id="rId222" ref="G197"/>
    <hyperlink r:id="rId223" ref="Q197"/>
    <hyperlink r:id="rId224" ref="G198"/>
    <hyperlink r:id="rId225" ref="Q198"/>
    <hyperlink r:id="rId226" ref="G199"/>
    <hyperlink r:id="rId227" ref="Q199"/>
    <hyperlink r:id="rId228" ref="G200"/>
    <hyperlink r:id="rId229" ref="Q200"/>
    <hyperlink r:id="rId230" ref="G201"/>
    <hyperlink r:id="rId231" ref="Q201"/>
    <hyperlink r:id="rId232" ref="G202"/>
    <hyperlink r:id="rId233" ref="Q202"/>
    <hyperlink r:id="rId234" ref="G203"/>
    <hyperlink r:id="rId235" ref="Q203"/>
    <hyperlink r:id="rId236" ref="G204"/>
    <hyperlink r:id="rId237" ref="Q204"/>
    <hyperlink r:id="rId238" ref="G205"/>
    <hyperlink r:id="rId239" ref="Q205"/>
    <hyperlink r:id="rId240" ref="G206"/>
    <hyperlink r:id="rId241" ref="Q206"/>
    <hyperlink r:id="rId242" ref="G207"/>
    <hyperlink r:id="rId243" ref="Q207"/>
    <hyperlink r:id="rId244" ref="G208"/>
    <hyperlink r:id="rId245" ref="Q208"/>
    <hyperlink r:id="rId246" ref="G209"/>
    <hyperlink r:id="rId247" ref="Q209"/>
    <hyperlink r:id="rId248" ref="G210"/>
    <hyperlink r:id="rId249" ref="Q210"/>
    <hyperlink r:id="rId250" ref="G211"/>
    <hyperlink r:id="rId251" ref="Q211"/>
    <hyperlink r:id="rId252" ref="G212"/>
    <hyperlink r:id="rId253" ref="Q212"/>
    <hyperlink r:id="rId254" ref="G213"/>
    <hyperlink r:id="rId255" ref="Q213"/>
    <hyperlink r:id="rId256" ref="G214"/>
    <hyperlink r:id="rId257" ref="Q214"/>
    <hyperlink r:id="rId258" ref="G215"/>
    <hyperlink r:id="rId259" ref="Q215"/>
    <hyperlink r:id="rId260" ref="G216"/>
    <hyperlink r:id="rId261" ref="Q216"/>
    <hyperlink r:id="rId262" ref="G217"/>
    <hyperlink r:id="rId263" ref="Q217"/>
    <hyperlink r:id="rId264" ref="G218"/>
    <hyperlink r:id="rId265" ref="Q218"/>
    <hyperlink r:id="rId266" ref="G219"/>
    <hyperlink r:id="rId267" ref="Q219"/>
    <hyperlink r:id="rId268" ref="G220"/>
    <hyperlink r:id="rId269" ref="Q220"/>
    <hyperlink r:id="rId270" ref="G221"/>
    <hyperlink r:id="rId271" ref="Q221"/>
    <hyperlink r:id="rId272" ref="G222"/>
    <hyperlink r:id="rId273" ref="Q222"/>
    <hyperlink r:id="rId274" ref="G223"/>
    <hyperlink r:id="rId275" ref="Q223"/>
    <hyperlink r:id="rId276" ref="G224"/>
    <hyperlink r:id="rId277" ref="Q224"/>
    <hyperlink r:id="rId278" ref="G225"/>
    <hyperlink r:id="rId279" ref="Q225"/>
    <hyperlink r:id="rId280" ref="G226"/>
    <hyperlink r:id="rId281" ref="Q226"/>
    <hyperlink r:id="rId282" ref="G227"/>
    <hyperlink r:id="rId283" ref="Q227"/>
    <hyperlink r:id="rId284" ref="G228"/>
    <hyperlink r:id="rId285" ref="Q228"/>
    <hyperlink r:id="rId286" ref="G229"/>
    <hyperlink r:id="rId287" ref="Q229"/>
    <hyperlink r:id="rId288" ref="G230"/>
    <hyperlink r:id="rId289" ref="Q230"/>
  </hyperlinks>
  <printOptions/>
  <pageMargins bottom="0.75" footer="0.0" header="0.0" left="0.7" right="0.7" top="0.75"/>
  <pageSetup paperSize="9" orientation="portrait"/>
  <drawing r:id="rId29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0"/>
    <col customWidth="1" min="2" max="2" width="14.71"/>
    <col customWidth="1" min="3" max="3" width="43.57"/>
    <col customWidth="1" min="4" max="4" width="11.43"/>
    <col customWidth="1" min="5" max="5" width="19.86"/>
    <col customWidth="1" min="6" max="6" width="23.43"/>
    <col customWidth="1" min="7" max="7" width="35.86"/>
    <col customWidth="1" min="8" max="8" width="36.43"/>
    <col customWidth="1" min="9" max="26" width="8.71"/>
  </cols>
  <sheetData>
    <row r="1" ht="14.25" customHeight="1">
      <c r="A1" s="39" t="s">
        <v>1282</v>
      </c>
      <c r="B1" s="39" t="s">
        <v>1283</v>
      </c>
      <c r="C1" s="39" t="s">
        <v>1284</v>
      </c>
      <c r="D1" s="40" t="s">
        <v>1</v>
      </c>
      <c r="E1" s="41" t="s">
        <v>2</v>
      </c>
      <c r="F1" s="40" t="s">
        <v>1285</v>
      </c>
      <c r="G1" s="40" t="s">
        <v>1286</v>
      </c>
      <c r="H1" s="40" t="s">
        <v>1285</v>
      </c>
      <c r="I1" s="39"/>
      <c r="J1" s="39"/>
      <c r="K1" s="39"/>
      <c r="L1" s="39"/>
      <c r="M1" s="39"/>
      <c r="N1" s="39"/>
      <c r="O1" s="39"/>
      <c r="P1" s="39"/>
      <c r="Q1" s="39"/>
      <c r="R1" s="39"/>
      <c r="S1" s="39"/>
      <c r="T1" s="39"/>
      <c r="U1" s="39"/>
      <c r="V1" s="39"/>
      <c r="W1" s="39"/>
      <c r="X1" s="39"/>
      <c r="Y1" s="39"/>
      <c r="Z1" s="39"/>
    </row>
    <row r="2" ht="14.25" customHeight="1">
      <c r="E2" s="42"/>
    </row>
    <row r="3" ht="14.25" customHeight="1">
      <c r="E3" s="42"/>
    </row>
    <row r="4" ht="14.25" customHeight="1">
      <c r="E4" s="42"/>
    </row>
    <row r="5" ht="14.25" customHeight="1">
      <c r="E5" s="42"/>
    </row>
    <row r="6" ht="14.25" customHeight="1">
      <c r="E6" s="42"/>
    </row>
    <row r="7" ht="14.25" customHeight="1">
      <c r="E7" s="42"/>
    </row>
    <row r="8" ht="14.25" customHeight="1">
      <c r="E8" s="42"/>
    </row>
    <row r="9" ht="14.25" customHeight="1">
      <c r="E9" s="42"/>
    </row>
    <row r="10" ht="14.25" customHeight="1">
      <c r="E10" s="42"/>
    </row>
    <row r="11" ht="14.25" customHeight="1">
      <c r="E11" s="42"/>
    </row>
    <row r="12" ht="14.25" customHeight="1">
      <c r="E12" s="42"/>
    </row>
    <row r="13" ht="14.25" customHeight="1">
      <c r="E13" s="42"/>
    </row>
    <row r="14" ht="14.25" customHeight="1">
      <c r="E14" s="42"/>
    </row>
    <row r="15" ht="14.25" customHeight="1">
      <c r="E15" s="42"/>
    </row>
    <row r="16" ht="14.25" customHeight="1">
      <c r="E16" s="42"/>
    </row>
    <row r="17" ht="14.25" customHeight="1">
      <c r="E17" s="42"/>
    </row>
    <row r="18" ht="14.25" customHeight="1">
      <c r="E18" s="42"/>
    </row>
    <row r="19" ht="14.25" customHeight="1">
      <c r="E19" s="42"/>
    </row>
    <row r="20" ht="14.25" customHeight="1">
      <c r="E20" s="42"/>
    </row>
    <row r="21" ht="14.25" customHeight="1">
      <c r="E21" s="42"/>
    </row>
    <row r="22" ht="14.25" customHeight="1">
      <c r="E22" s="42"/>
    </row>
    <row r="23" ht="14.25" customHeight="1">
      <c r="E23" s="42"/>
    </row>
    <row r="24" ht="14.25" customHeight="1">
      <c r="E24" s="42"/>
    </row>
    <row r="25" ht="14.25" customHeight="1">
      <c r="E25" s="42"/>
    </row>
    <row r="26" ht="14.25" customHeight="1">
      <c r="E26" s="42"/>
    </row>
    <row r="27" ht="14.25" customHeight="1">
      <c r="E27" s="42"/>
    </row>
    <row r="28" ht="14.25" customHeight="1">
      <c r="E28" s="42"/>
    </row>
    <row r="29" ht="14.25" customHeight="1">
      <c r="E29" s="42"/>
    </row>
    <row r="30" ht="14.25" customHeight="1">
      <c r="E30" s="42"/>
    </row>
    <row r="31" ht="14.25" customHeight="1">
      <c r="E31" s="42"/>
    </row>
    <row r="32" ht="14.25" customHeight="1">
      <c r="E32" s="42"/>
    </row>
    <row r="33" ht="14.25" customHeight="1">
      <c r="E33" s="42"/>
    </row>
    <row r="34" ht="14.25" customHeight="1">
      <c r="E34" s="42"/>
    </row>
    <row r="35" ht="14.25" customHeight="1">
      <c r="E35" s="42"/>
    </row>
    <row r="36" ht="14.25" customHeight="1">
      <c r="E36" s="42"/>
    </row>
    <row r="37" ht="14.25" customHeight="1">
      <c r="E37" s="42"/>
    </row>
    <row r="38" ht="14.25" customHeight="1">
      <c r="E38" s="42"/>
    </row>
    <row r="39" ht="14.25" customHeight="1">
      <c r="E39" s="42"/>
    </row>
    <row r="40" ht="14.25" customHeight="1">
      <c r="E40" s="42"/>
    </row>
    <row r="41" ht="14.25" customHeight="1">
      <c r="E41" s="42"/>
    </row>
    <row r="42" ht="14.25" customHeight="1">
      <c r="E42" s="42"/>
    </row>
    <row r="43" ht="14.25" customHeight="1">
      <c r="E43" s="42"/>
    </row>
    <row r="44" ht="14.25" customHeight="1">
      <c r="E44" s="42"/>
    </row>
    <row r="45" ht="14.25" customHeight="1">
      <c r="E45" s="42"/>
    </row>
    <row r="46" ht="14.25" customHeight="1">
      <c r="E46" s="42"/>
    </row>
    <row r="47" ht="14.25" customHeight="1">
      <c r="E47" s="42"/>
    </row>
    <row r="48" ht="14.25" customHeight="1">
      <c r="E48" s="42"/>
    </row>
    <row r="49" ht="14.25" customHeight="1">
      <c r="E49" s="42"/>
    </row>
    <row r="50" ht="14.25" customHeight="1">
      <c r="E50" s="42"/>
    </row>
    <row r="51" ht="14.25" customHeight="1">
      <c r="E51" s="42"/>
    </row>
    <row r="52" ht="14.25" customHeight="1">
      <c r="E52" s="42"/>
    </row>
    <row r="53" ht="14.25" customHeight="1">
      <c r="E53" s="42"/>
    </row>
    <row r="54" ht="14.25" customHeight="1">
      <c r="E54" s="42"/>
    </row>
    <row r="55" ht="14.25" customHeight="1">
      <c r="E55" s="42"/>
    </row>
    <row r="56" ht="14.25" customHeight="1">
      <c r="E56" s="42"/>
    </row>
    <row r="57" ht="14.25" customHeight="1">
      <c r="E57" s="42"/>
    </row>
    <row r="58" ht="14.25" customHeight="1">
      <c r="E58" s="42"/>
    </row>
    <row r="59" ht="14.25" customHeight="1">
      <c r="E59" s="42"/>
    </row>
    <row r="60" ht="14.25" customHeight="1">
      <c r="E60" s="42"/>
    </row>
    <row r="61" ht="14.25" customHeight="1">
      <c r="E61" s="42"/>
    </row>
    <row r="62" ht="14.25" customHeight="1">
      <c r="E62" s="42"/>
    </row>
    <row r="63" ht="14.25" customHeight="1">
      <c r="E63" s="42"/>
    </row>
    <row r="64" ht="14.25" customHeight="1">
      <c r="E64" s="42"/>
    </row>
    <row r="65" ht="14.25" customHeight="1">
      <c r="E65" s="42"/>
    </row>
    <row r="66" ht="14.25" customHeight="1">
      <c r="E66" s="42"/>
    </row>
    <row r="67" ht="14.25" customHeight="1">
      <c r="E67" s="42"/>
    </row>
    <row r="68" ht="14.25" customHeight="1">
      <c r="E68" s="42"/>
    </row>
    <row r="69" ht="14.25" customHeight="1">
      <c r="E69" s="42"/>
    </row>
    <row r="70" ht="14.25" customHeight="1">
      <c r="E70" s="42"/>
    </row>
    <row r="71" ht="14.25" customHeight="1">
      <c r="E71" s="42"/>
    </row>
    <row r="72" ht="14.25" customHeight="1">
      <c r="E72" s="42"/>
    </row>
    <row r="73" ht="14.25" customHeight="1">
      <c r="E73" s="42"/>
    </row>
    <row r="74" ht="14.25" customHeight="1">
      <c r="E74" s="42"/>
    </row>
    <row r="75" ht="14.25" customHeight="1">
      <c r="E75" s="42"/>
    </row>
    <row r="76" ht="14.25" customHeight="1">
      <c r="E76" s="42"/>
    </row>
    <row r="77" ht="14.25" customHeight="1">
      <c r="E77" s="42"/>
    </row>
    <row r="78" ht="14.25" customHeight="1">
      <c r="E78" s="42"/>
    </row>
    <row r="79" ht="14.25" customHeight="1">
      <c r="E79" s="42"/>
    </row>
    <row r="80" ht="14.25" customHeight="1">
      <c r="E80" s="42"/>
    </row>
    <row r="81" ht="14.25" customHeight="1">
      <c r="E81" s="42"/>
    </row>
    <row r="82" ht="14.25" customHeight="1">
      <c r="E82" s="42"/>
    </row>
    <row r="83" ht="14.25" customHeight="1">
      <c r="E83" s="42"/>
    </row>
    <row r="84" ht="14.25" customHeight="1">
      <c r="E84" s="42"/>
    </row>
    <row r="85" ht="14.25" customHeight="1">
      <c r="E85" s="42"/>
    </row>
    <row r="86" ht="14.25" customHeight="1">
      <c r="E86" s="42"/>
    </row>
    <row r="87" ht="14.25" customHeight="1">
      <c r="E87" s="42"/>
    </row>
    <row r="88" ht="14.25" customHeight="1">
      <c r="E88" s="42"/>
    </row>
    <row r="89" ht="14.25" customHeight="1">
      <c r="E89" s="42"/>
    </row>
    <row r="90" ht="14.25" customHeight="1">
      <c r="E90" s="42"/>
    </row>
    <row r="91" ht="14.25" customHeight="1">
      <c r="E91" s="42"/>
    </row>
    <row r="92" ht="14.25" customHeight="1">
      <c r="E92" s="42"/>
    </row>
    <row r="93" ht="14.25" customHeight="1">
      <c r="E93" s="42"/>
    </row>
    <row r="94" ht="14.25" customHeight="1">
      <c r="E94" s="42"/>
    </row>
    <row r="95" ht="14.25" customHeight="1">
      <c r="E95" s="42"/>
    </row>
    <row r="96" ht="14.25" customHeight="1">
      <c r="E96" s="42"/>
    </row>
    <row r="97" ht="14.25" customHeight="1">
      <c r="E97" s="42"/>
    </row>
    <row r="98" ht="14.25" customHeight="1">
      <c r="E98" s="42"/>
    </row>
    <row r="99" ht="14.25" customHeight="1">
      <c r="E99" s="42"/>
    </row>
    <row r="100" ht="14.25" customHeight="1">
      <c r="E100" s="42"/>
    </row>
    <row r="101" ht="14.25" customHeight="1">
      <c r="E101" s="42"/>
    </row>
    <row r="102" ht="14.25" customHeight="1">
      <c r="E102" s="42"/>
    </row>
    <row r="103" ht="14.25" customHeight="1">
      <c r="E103" s="42"/>
    </row>
    <row r="104" ht="14.25" customHeight="1">
      <c r="E104" s="42"/>
    </row>
    <row r="105" ht="14.25" customHeight="1">
      <c r="E105" s="42"/>
    </row>
    <row r="106" ht="14.25" customHeight="1">
      <c r="E106" s="42"/>
    </row>
    <row r="107" ht="14.25" customHeight="1">
      <c r="E107" s="42"/>
    </row>
    <row r="108" ht="14.25" customHeight="1">
      <c r="E108" s="42"/>
    </row>
    <row r="109" ht="14.25" customHeight="1">
      <c r="E109" s="42"/>
    </row>
    <row r="110" ht="14.25" customHeight="1">
      <c r="E110" s="42"/>
    </row>
    <row r="111" ht="14.25" customHeight="1">
      <c r="E111" s="42"/>
    </row>
    <row r="112" ht="14.25" customHeight="1">
      <c r="E112" s="42"/>
    </row>
    <row r="113" ht="14.25" customHeight="1">
      <c r="E113" s="42"/>
    </row>
    <row r="114" ht="14.25" customHeight="1">
      <c r="E114" s="42"/>
    </row>
    <row r="115" ht="14.25" customHeight="1">
      <c r="E115" s="42"/>
    </row>
    <row r="116" ht="14.25" customHeight="1">
      <c r="E116" s="42"/>
    </row>
    <row r="117" ht="14.25" customHeight="1">
      <c r="E117" s="42"/>
    </row>
    <row r="118" ht="14.25" customHeight="1">
      <c r="E118" s="42"/>
    </row>
    <row r="119" ht="14.25" customHeight="1">
      <c r="E119" s="42"/>
    </row>
    <row r="120" ht="14.25" customHeight="1">
      <c r="E120" s="42"/>
    </row>
    <row r="121" ht="14.25" customHeight="1">
      <c r="E121" s="42"/>
    </row>
    <row r="122" ht="14.25" customHeight="1">
      <c r="E122" s="42"/>
    </row>
    <row r="123" ht="14.25" customHeight="1">
      <c r="E123" s="42"/>
    </row>
    <row r="124" ht="14.25" customHeight="1">
      <c r="E124" s="42"/>
    </row>
    <row r="125" ht="14.25" customHeight="1">
      <c r="E125" s="42"/>
    </row>
    <row r="126" ht="14.25" customHeight="1">
      <c r="E126" s="42"/>
    </row>
    <row r="127" ht="14.25" customHeight="1">
      <c r="E127" s="42"/>
    </row>
    <row r="128" ht="14.25" customHeight="1">
      <c r="E128" s="42"/>
    </row>
    <row r="129" ht="14.25" customHeight="1">
      <c r="E129" s="42"/>
    </row>
    <row r="130" ht="14.25" customHeight="1">
      <c r="E130" s="42"/>
    </row>
    <row r="131" ht="14.25" customHeight="1">
      <c r="E131" s="42"/>
    </row>
    <row r="132" ht="14.25" customHeight="1">
      <c r="E132" s="42"/>
    </row>
    <row r="133" ht="14.25" customHeight="1">
      <c r="E133" s="42"/>
    </row>
    <row r="134" ht="14.25" customHeight="1">
      <c r="E134" s="42"/>
    </row>
    <row r="135" ht="14.25" customHeight="1">
      <c r="E135" s="42"/>
    </row>
    <row r="136" ht="14.25" customHeight="1">
      <c r="E136" s="42"/>
    </row>
    <row r="137" ht="14.25" customHeight="1">
      <c r="E137" s="42"/>
    </row>
    <row r="138" ht="14.25" customHeight="1">
      <c r="E138" s="42"/>
    </row>
    <row r="139" ht="14.25" customHeight="1">
      <c r="E139" s="42"/>
    </row>
    <row r="140" ht="14.25" customHeight="1">
      <c r="E140" s="42"/>
    </row>
    <row r="141" ht="14.25" customHeight="1">
      <c r="E141" s="42"/>
    </row>
    <row r="142" ht="14.25" customHeight="1">
      <c r="E142" s="42"/>
    </row>
    <row r="143" ht="14.25" customHeight="1">
      <c r="E143" s="42"/>
    </row>
    <row r="144" ht="14.25" customHeight="1">
      <c r="E144" s="42"/>
    </row>
    <row r="145" ht="14.25" customHeight="1">
      <c r="E145" s="42"/>
    </row>
    <row r="146" ht="14.25" customHeight="1">
      <c r="E146" s="42"/>
    </row>
    <row r="147" ht="14.25" customHeight="1">
      <c r="E147" s="42"/>
    </row>
    <row r="148" ht="14.25" customHeight="1">
      <c r="E148" s="42"/>
    </row>
    <row r="149" ht="14.25" customHeight="1">
      <c r="E149" s="42"/>
    </row>
    <row r="150" ht="14.25" customHeight="1">
      <c r="E150" s="42"/>
    </row>
    <row r="151" ht="14.25" customHeight="1">
      <c r="E151" s="42"/>
    </row>
    <row r="152" ht="14.25" customHeight="1">
      <c r="E152" s="42"/>
    </row>
    <row r="153" ht="14.25" customHeight="1">
      <c r="E153" s="42"/>
    </row>
    <row r="154" ht="14.25" customHeight="1">
      <c r="E154" s="42"/>
    </row>
    <row r="155" ht="14.25" customHeight="1">
      <c r="E155" s="42"/>
    </row>
    <row r="156" ht="14.25" customHeight="1">
      <c r="E156" s="42"/>
    </row>
    <row r="157" ht="14.25" customHeight="1">
      <c r="E157" s="42"/>
    </row>
    <row r="158" ht="14.25" customHeight="1">
      <c r="E158" s="42"/>
    </row>
    <row r="159" ht="14.25" customHeight="1">
      <c r="E159" s="42"/>
    </row>
    <row r="160" ht="14.25" customHeight="1">
      <c r="E160" s="42"/>
    </row>
    <row r="161" ht="14.25" customHeight="1">
      <c r="E161" s="42"/>
    </row>
    <row r="162" ht="14.25" customHeight="1">
      <c r="E162" s="42"/>
    </row>
    <row r="163" ht="14.25" customHeight="1">
      <c r="E163" s="42"/>
    </row>
    <row r="164" ht="14.25" customHeight="1">
      <c r="E164" s="42"/>
    </row>
    <row r="165" ht="14.25" customHeight="1">
      <c r="E165" s="42"/>
    </row>
    <row r="166" ht="14.25" customHeight="1">
      <c r="E166" s="42"/>
    </row>
    <row r="167" ht="14.25" customHeight="1">
      <c r="E167" s="42"/>
    </row>
    <row r="168" ht="14.25" customHeight="1">
      <c r="E168" s="42"/>
    </row>
    <row r="169" ht="14.25" customHeight="1">
      <c r="E169" s="42"/>
    </row>
    <row r="170" ht="14.25" customHeight="1">
      <c r="E170" s="42"/>
    </row>
    <row r="171" ht="14.25" customHeight="1">
      <c r="E171" s="42"/>
    </row>
    <row r="172" ht="14.25" customHeight="1">
      <c r="E172" s="42"/>
    </row>
    <row r="173" ht="14.25" customHeight="1">
      <c r="E173" s="42"/>
    </row>
    <row r="174" ht="14.25" customHeight="1">
      <c r="E174" s="42"/>
    </row>
    <row r="175" ht="14.25" customHeight="1">
      <c r="E175" s="42"/>
    </row>
    <row r="176" ht="14.25" customHeight="1">
      <c r="E176" s="42"/>
    </row>
    <row r="177" ht="14.25" customHeight="1">
      <c r="E177" s="42"/>
    </row>
    <row r="178" ht="14.25" customHeight="1">
      <c r="E178" s="42"/>
    </row>
    <row r="179" ht="14.25" customHeight="1">
      <c r="E179" s="42"/>
    </row>
    <row r="180" ht="14.25" customHeight="1">
      <c r="E180" s="42"/>
    </row>
    <row r="181" ht="14.25" customHeight="1">
      <c r="E181" s="42"/>
    </row>
    <row r="182" ht="14.25" customHeight="1">
      <c r="E182" s="42"/>
    </row>
    <row r="183" ht="14.25" customHeight="1">
      <c r="E183" s="42"/>
    </row>
    <row r="184" ht="14.25" customHeight="1">
      <c r="E184" s="42"/>
    </row>
    <row r="185" ht="14.25" customHeight="1">
      <c r="E185" s="42"/>
    </row>
    <row r="186" ht="14.25" customHeight="1">
      <c r="E186" s="42"/>
    </row>
    <row r="187" ht="14.25" customHeight="1">
      <c r="E187" s="42"/>
    </row>
    <row r="188" ht="14.25" customHeight="1">
      <c r="E188" s="42"/>
    </row>
    <row r="189" ht="14.25" customHeight="1">
      <c r="E189" s="42"/>
    </row>
    <row r="190" ht="14.25" customHeight="1">
      <c r="E190" s="42"/>
    </row>
    <row r="191" ht="14.25" customHeight="1">
      <c r="E191" s="42"/>
    </row>
    <row r="192" ht="14.25" customHeight="1">
      <c r="E192" s="42"/>
    </row>
    <row r="193" ht="14.25" customHeight="1">
      <c r="E193" s="42"/>
    </row>
    <row r="194" ht="14.25" customHeight="1">
      <c r="E194" s="42"/>
    </row>
    <row r="195" ht="14.25" customHeight="1">
      <c r="E195" s="42"/>
    </row>
    <row r="196" ht="14.25" customHeight="1">
      <c r="E196" s="42"/>
    </row>
    <row r="197" ht="14.25" customHeight="1">
      <c r="E197" s="42"/>
    </row>
    <row r="198" ht="14.25" customHeight="1">
      <c r="E198" s="42"/>
    </row>
    <row r="199" ht="14.25" customHeight="1">
      <c r="E199" s="42"/>
    </row>
    <row r="200" ht="14.25" customHeight="1">
      <c r="E200" s="42"/>
    </row>
    <row r="201" ht="14.25" customHeight="1">
      <c r="E201" s="42"/>
    </row>
    <row r="202" ht="14.25" customHeight="1">
      <c r="E202" s="42"/>
    </row>
    <row r="203" ht="14.25" customHeight="1">
      <c r="E203" s="42"/>
    </row>
    <row r="204" ht="14.25" customHeight="1">
      <c r="E204" s="42"/>
    </row>
    <row r="205" ht="14.25" customHeight="1">
      <c r="E205" s="42"/>
    </row>
    <row r="206" ht="14.25" customHeight="1">
      <c r="E206" s="42"/>
    </row>
    <row r="207" ht="14.25" customHeight="1">
      <c r="E207" s="42"/>
    </row>
    <row r="208" ht="14.25" customHeight="1">
      <c r="E208" s="42"/>
    </row>
    <row r="209" ht="14.25" customHeight="1">
      <c r="E209" s="42"/>
    </row>
    <row r="210" ht="14.25" customHeight="1">
      <c r="E210" s="42"/>
    </row>
    <row r="211" ht="14.25" customHeight="1">
      <c r="E211" s="42"/>
    </row>
    <row r="212" ht="14.25" customHeight="1">
      <c r="E212" s="42"/>
    </row>
    <row r="213" ht="14.25" customHeight="1">
      <c r="E213" s="42"/>
    </row>
    <row r="214" ht="14.25" customHeight="1">
      <c r="E214" s="42"/>
    </row>
    <row r="215" ht="14.25" customHeight="1">
      <c r="E215" s="42"/>
    </row>
    <row r="216" ht="14.25" customHeight="1">
      <c r="E216" s="42"/>
    </row>
    <row r="217" ht="14.25" customHeight="1">
      <c r="E217" s="42"/>
    </row>
    <row r="218" ht="14.25" customHeight="1">
      <c r="E218" s="42"/>
    </row>
    <row r="219" ht="14.25" customHeight="1">
      <c r="E219" s="42"/>
    </row>
    <row r="220" ht="14.25" customHeight="1">
      <c r="E220" s="42"/>
    </row>
    <row r="221" ht="14.25" customHeight="1">
      <c r="E221" s="42"/>
    </row>
    <row r="222" ht="14.25" customHeight="1">
      <c r="E222" s="42"/>
    </row>
    <row r="223" ht="14.25" customHeight="1">
      <c r="E223" s="42"/>
    </row>
    <row r="224" ht="14.25" customHeight="1">
      <c r="E224" s="42"/>
    </row>
    <row r="225" ht="14.25" customHeight="1">
      <c r="E225" s="42"/>
    </row>
    <row r="226" ht="14.25" customHeight="1">
      <c r="E226" s="42"/>
    </row>
    <row r="227" ht="14.25" customHeight="1">
      <c r="E227" s="42"/>
    </row>
    <row r="228" ht="14.25" customHeight="1">
      <c r="E228" s="42"/>
    </row>
    <row r="229" ht="14.25" customHeight="1">
      <c r="E229" s="42"/>
    </row>
    <row r="230" ht="14.25" customHeight="1">
      <c r="E230" s="42"/>
    </row>
    <row r="231" ht="14.25" customHeight="1">
      <c r="E231" s="42"/>
    </row>
    <row r="232" ht="14.25" customHeight="1">
      <c r="E232" s="42"/>
    </row>
    <row r="233" ht="14.25" customHeight="1">
      <c r="E233" s="42"/>
    </row>
    <row r="234" ht="14.25" customHeight="1">
      <c r="E234" s="42"/>
    </row>
    <row r="235" ht="14.25" customHeight="1">
      <c r="E235" s="42"/>
    </row>
    <row r="236" ht="14.25" customHeight="1">
      <c r="E236" s="42"/>
    </row>
    <row r="237" ht="14.25" customHeight="1">
      <c r="E237" s="42"/>
    </row>
    <row r="238" ht="14.25" customHeight="1">
      <c r="E238" s="42"/>
    </row>
    <row r="239" ht="14.25" customHeight="1">
      <c r="E239" s="42"/>
    </row>
    <row r="240" ht="14.25" customHeight="1">
      <c r="E240" s="42"/>
    </row>
    <row r="241" ht="14.25" customHeight="1">
      <c r="E241" s="42"/>
    </row>
    <row r="242" ht="14.25" customHeight="1">
      <c r="E242" s="42"/>
    </row>
    <row r="243" ht="14.25" customHeight="1">
      <c r="E243" s="42"/>
    </row>
    <row r="244" ht="14.25" customHeight="1">
      <c r="E244" s="42"/>
    </row>
    <row r="245" ht="14.25" customHeight="1">
      <c r="E245" s="42"/>
    </row>
    <row r="246" ht="14.25" customHeight="1">
      <c r="E246" s="42"/>
    </row>
    <row r="247" ht="14.25" customHeight="1">
      <c r="E247" s="42"/>
    </row>
    <row r="248" ht="14.25" customHeight="1">
      <c r="E248" s="42"/>
    </row>
    <row r="249" ht="14.25" customHeight="1">
      <c r="E249" s="42"/>
    </row>
    <row r="250" ht="14.25" customHeight="1">
      <c r="E250" s="42"/>
    </row>
    <row r="251" ht="14.25" customHeight="1">
      <c r="E251" s="42"/>
    </row>
    <row r="252" ht="14.25" customHeight="1">
      <c r="E252" s="42"/>
    </row>
    <row r="253" ht="14.25" customHeight="1">
      <c r="E253" s="42"/>
    </row>
    <row r="254" ht="14.25" customHeight="1">
      <c r="E254" s="42"/>
    </row>
    <row r="255" ht="14.25" customHeight="1">
      <c r="E255" s="42"/>
    </row>
    <row r="256" ht="14.25" customHeight="1">
      <c r="E256" s="42"/>
    </row>
    <row r="257" ht="14.25" customHeight="1">
      <c r="E257" s="42"/>
    </row>
    <row r="258" ht="14.25" customHeight="1">
      <c r="E258" s="42"/>
    </row>
    <row r="259" ht="14.25" customHeight="1">
      <c r="E259" s="42"/>
    </row>
    <row r="260" ht="14.25" customHeight="1">
      <c r="E260" s="42"/>
    </row>
    <row r="261" ht="14.25" customHeight="1">
      <c r="E261" s="42"/>
    </row>
    <row r="262" ht="14.25" customHeight="1">
      <c r="E262" s="42"/>
    </row>
    <row r="263" ht="14.25" customHeight="1">
      <c r="E263" s="42"/>
    </row>
    <row r="264" ht="14.25" customHeight="1">
      <c r="E264" s="42"/>
    </row>
    <row r="265" ht="14.25" customHeight="1">
      <c r="E265" s="42"/>
    </row>
    <row r="266" ht="14.25" customHeight="1">
      <c r="E266" s="42"/>
    </row>
    <row r="267" ht="14.25" customHeight="1">
      <c r="E267" s="42"/>
    </row>
    <row r="268" ht="14.25" customHeight="1">
      <c r="E268" s="42"/>
    </row>
    <row r="269" ht="14.25" customHeight="1">
      <c r="E269" s="42"/>
    </row>
    <row r="270" ht="14.25" customHeight="1">
      <c r="E270" s="42"/>
    </row>
    <row r="271" ht="14.25" customHeight="1">
      <c r="E271" s="42"/>
    </row>
    <row r="272" ht="14.25" customHeight="1">
      <c r="E272" s="42"/>
    </row>
    <row r="273" ht="14.25" customHeight="1">
      <c r="E273" s="42"/>
    </row>
    <row r="274" ht="14.25" customHeight="1">
      <c r="E274" s="42"/>
    </row>
    <row r="275" ht="14.25" customHeight="1">
      <c r="E275" s="42"/>
    </row>
    <row r="276" ht="14.25" customHeight="1">
      <c r="E276" s="42"/>
    </row>
    <row r="277" ht="14.25" customHeight="1">
      <c r="E277" s="42"/>
    </row>
    <row r="278" ht="14.25" customHeight="1">
      <c r="E278" s="42"/>
    </row>
    <row r="279" ht="14.25" customHeight="1">
      <c r="E279" s="42"/>
    </row>
    <row r="280" ht="14.25" customHeight="1">
      <c r="E280" s="42"/>
    </row>
    <row r="281" ht="14.25" customHeight="1">
      <c r="E281" s="42"/>
    </row>
    <row r="282" ht="14.25" customHeight="1">
      <c r="E282" s="42"/>
    </row>
    <row r="283" ht="14.25" customHeight="1">
      <c r="E283" s="42"/>
    </row>
    <row r="284" ht="14.25" customHeight="1">
      <c r="E284" s="42"/>
    </row>
    <row r="285" ht="14.25" customHeight="1">
      <c r="E285" s="42"/>
    </row>
    <row r="286" ht="14.25" customHeight="1">
      <c r="E286" s="42"/>
    </row>
    <row r="287" ht="14.25" customHeight="1">
      <c r="E287" s="42"/>
    </row>
    <row r="288" ht="14.25" customHeight="1">
      <c r="E288" s="42"/>
    </row>
    <row r="289" ht="14.25" customHeight="1">
      <c r="E289" s="42"/>
    </row>
    <row r="290" ht="14.25" customHeight="1">
      <c r="E290" s="42"/>
    </row>
    <row r="291" ht="14.25" customHeight="1">
      <c r="E291" s="42"/>
    </row>
    <row r="292" ht="14.25" customHeight="1">
      <c r="E292" s="42"/>
    </row>
    <row r="293" ht="14.25" customHeight="1">
      <c r="E293" s="42"/>
    </row>
    <row r="294" ht="14.25" customHeight="1">
      <c r="E294" s="42"/>
    </row>
    <row r="295" ht="14.25" customHeight="1">
      <c r="E295" s="42"/>
    </row>
    <row r="296" ht="14.25" customHeight="1">
      <c r="E296" s="42"/>
    </row>
    <row r="297" ht="14.25" customHeight="1">
      <c r="E297" s="42"/>
    </row>
    <row r="298" ht="14.25" customHeight="1">
      <c r="E298" s="42"/>
    </row>
    <row r="299" ht="14.25" customHeight="1">
      <c r="E299" s="42"/>
    </row>
    <row r="300" ht="14.25" customHeight="1">
      <c r="E300" s="42"/>
    </row>
    <row r="301" ht="14.25" customHeight="1">
      <c r="E301" s="42"/>
    </row>
    <row r="302" ht="14.25" customHeight="1">
      <c r="E302" s="42"/>
    </row>
    <row r="303" ht="14.25" customHeight="1">
      <c r="E303" s="42"/>
    </row>
    <row r="304" ht="14.25" customHeight="1">
      <c r="E304" s="42"/>
    </row>
    <row r="305" ht="14.25" customHeight="1">
      <c r="E305" s="42"/>
    </row>
    <row r="306" ht="14.25" customHeight="1">
      <c r="E306" s="42"/>
    </row>
    <row r="307" ht="14.25" customHeight="1">
      <c r="E307" s="42"/>
    </row>
    <row r="308" ht="14.25" customHeight="1">
      <c r="E308" s="42"/>
    </row>
    <row r="309" ht="14.25" customHeight="1">
      <c r="E309" s="42"/>
    </row>
    <row r="310" ht="14.25" customHeight="1">
      <c r="E310" s="42"/>
    </row>
    <row r="311" ht="14.25" customHeight="1">
      <c r="E311" s="42"/>
    </row>
    <row r="312" ht="14.25" customHeight="1">
      <c r="E312" s="42"/>
    </row>
    <row r="313" ht="14.25" customHeight="1">
      <c r="E313" s="42"/>
    </row>
    <row r="314" ht="14.25" customHeight="1">
      <c r="E314" s="42"/>
    </row>
    <row r="315" ht="14.25" customHeight="1">
      <c r="E315" s="42"/>
    </row>
    <row r="316" ht="14.25" customHeight="1">
      <c r="E316" s="42"/>
    </row>
    <row r="317" ht="14.25" customHeight="1">
      <c r="E317" s="42"/>
    </row>
    <row r="318" ht="14.25" customHeight="1">
      <c r="E318" s="42"/>
    </row>
    <row r="319" ht="14.25" customHeight="1">
      <c r="E319" s="42"/>
    </row>
    <row r="320" ht="14.25" customHeight="1">
      <c r="E320" s="42"/>
    </row>
    <row r="321" ht="14.25" customHeight="1">
      <c r="E321" s="42"/>
    </row>
    <row r="322" ht="14.25" customHeight="1">
      <c r="E322" s="42"/>
    </row>
    <row r="323" ht="14.25" customHeight="1">
      <c r="E323" s="42"/>
    </row>
    <row r="324" ht="14.25" customHeight="1">
      <c r="E324" s="42"/>
    </row>
    <row r="325" ht="14.25" customHeight="1">
      <c r="E325" s="42"/>
    </row>
    <row r="326" ht="14.25" customHeight="1">
      <c r="E326" s="42"/>
    </row>
    <row r="327" ht="14.25" customHeight="1">
      <c r="E327" s="42"/>
    </row>
    <row r="328" ht="14.25" customHeight="1">
      <c r="E328" s="42"/>
    </row>
    <row r="329" ht="14.25" customHeight="1">
      <c r="E329" s="42"/>
    </row>
    <row r="330" ht="14.25" customHeight="1">
      <c r="E330" s="42"/>
    </row>
    <row r="331" ht="14.25" customHeight="1">
      <c r="E331" s="42"/>
    </row>
    <row r="332" ht="14.25" customHeight="1">
      <c r="E332" s="42"/>
    </row>
    <row r="333" ht="14.25" customHeight="1">
      <c r="E333" s="42"/>
    </row>
    <row r="334" ht="14.25" customHeight="1">
      <c r="E334" s="42"/>
    </row>
    <row r="335" ht="14.25" customHeight="1">
      <c r="E335" s="42"/>
    </row>
    <row r="336" ht="14.25" customHeight="1">
      <c r="E336" s="42"/>
    </row>
    <row r="337" ht="14.25" customHeight="1">
      <c r="E337" s="42"/>
    </row>
    <row r="338" ht="14.25" customHeight="1">
      <c r="E338" s="42"/>
    </row>
    <row r="339" ht="14.25" customHeight="1">
      <c r="E339" s="42"/>
    </row>
    <row r="340" ht="14.25" customHeight="1">
      <c r="E340" s="42"/>
    </row>
    <row r="341" ht="14.25" customHeight="1">
      <c r="E341" s="42"/>
    </row>
    <row r="342" ht="14.25" customHeight="1">
      <c r="E342" s="42"/>
    </row>
    <row r="343" ht="14.25" customHeight="1">
      <c r="E343" s="42"/>
    </row>
    <row r="344" ht="14.25" customHeight="1">
      <c r="E344" s="42"/>
    </row>
    <row r="345" ht="14.25" customHeight="1">
      <c r="E345" s="42"/>
    </row>
    <row r="346" ht="14.25" customHeight="1">
      <c r="E346" s="42"/>
    </row>
    <row r="347" ht="14.25" customHeight="1">
      <c r="E347" s="42"/>
    </row>
    <row r="348" ht="14.25" customHeight="1">
      <c r="E348" s="42"/>
    </row>
    <row r="349" ht="14.25" customHeight="1">
      <c r="E349" s="42"/>
    </row>
    <row r="350" ht="14.25" customHeight="1">
      <c r="E350" s="42"/>
    </row>
    <row r="351" ht="14.25" customHeight="1">
      <c r="E351" s="42"/>
    </row>
    <row r="352" ht="14.25" customHeight="1">
      <c r="E352" s="42"/>
    </row>
    <row r="353" ht="14.25" customHeight="1">
      <c r="E353" s="42"/>
    </row>
    <row r="354" ht="14.25" customHeight="1">
      <c r="E354" s="42"/>
    </row>
    <row r="355" ht="14.25" customHeight="1">
      <c r="E355" s="42"/>
    </row>
    <row r="356" ht="14.25" customHeight="1">
      <c r="E356" s="42"/>
    </row>
    <row r="357" ht="14.25" customHeight="1">
      <c r="E357" s="42"/>
    </row>
    <row r="358" ht="14.25" customHeight="1">
      <c r="E358" s="42"/>
    </row>
    <row r="359" ht="14.25" customHeight="1">
      <c r="E359" s="42"/>
    </row>
    <row r="360" ht="14.25" customHeight="1">
      <c r="E360" s="42"/>
    </row>
    <row r="361" ht="14.25" customHeight="1">
      <c r="E361" s="42"/>
    </row>
    <row r="362" ht="14.25" customHeight="1">
      <c r="E362" s="42"/>
    </row>
    <row r="363" ht="14.25" customHeight="1">
      <c r="E363" s="42"/>
    </row>
    <row r="364" ht="14.25" customHeight="1">
      <c r="E364" s="42"/>
    </row>
    <row r="365" ht="14.25" customHeight="1">
      <c r="E365" s="42"/>
    </row>
    <row r="366" ht="14.25" customHeight="1">
      <c r="E366" s="42"/>
    </row>
    <row r="367" ht="14.25" customHeight="1">
      <c r="E367" s="42"/>
    </row>
    <row r="368" ht="14.25" customHeight="1">
      <c r="E368" s="42"/>
    </row>
    <row r="369" ht="14.25" customHeight="1">
      <c r="E369" s="42"/>
    </row>
    <row r="370" ht="14.25" customHeight="1">
      <c r="E370" s="42"/>
    </row>
    <row r="371" ht="14.25" customHeight="1">
      <c r="E371" s="42"/>
    </row>
    <row r="372" ht="14.25" customHeight="1">
      <c r="E372" s="42"/>
    </row>
    <row r="373" ht="14.25" customHeight="1">
      <c r="E373" s="42"/>
    </row>
    <row r="374" ht="14.25" customHeight="1">
      <c r="E374" s="42"/>
    </row>
    <row r="375" ht="14.25" customHeight="1">
      <c r="E375" s="42"/>
    </row>
    <row r="376" ht="14.25" customHeight="1">
      <c r="E376" s="42"/>
    </row>
    <row r="377" ht="14.25" customHeight="1">
      <c r="E377" s="42"/>
    </row>
    <row r="378" ht="14.25" customHeight="1">
      <c r="E378" s="42"/>
    </row>
    <row r="379" ht="14.25" customHeight="1">
      <c r="E379" s="42"/>
    </row>
    <row r="380" ht="14.25" customHeight="1">
      <c r="E380" s="42"/>
    </row>
    <row r="381" ht="14.25" customHeight="1">
      <c r="E381" s="42"/>
    </row>
    <row r="382" ht="14.25" customHeight="1">
      <c r="E382" s="42"/>
    </row>
    <row r="383" ht="14.25" customHeight="1">
      <c r="E383" s="42"/>
    </row>
    <row r="384" ht="14.25" customHeight="1">
      <c r="E384" s="42"/>
    </row>
    <row r="385" ht="14.25" customHeight="1">
      <c r="E385" s="42"/>
    </row>
    <row r="386" ht="14.25" customHeight="1">
      <c r="E386" s="42"/>
    </row>
    <row r="387" ht="14.25" customHeight="1">
      <c r="E387" s="42"/>
    </row>
    <row r="388" ht="14.25" customHeight="1">
      <c r="E388" s="42"/>
    </row>
    <row r="389" ht="14.25" customHeight="1">
      <c r="E389" s="42"/>
    </row>
    <row r="390" ht="14.25" customHeight="1">
      <c r="E390" s="42"/>
    </row>
    <row r="391" ht="14.25" customHeight="1">
      <c r="E391" s="42"/>
    </row>
    <row r="392" ht="14.25" customHeight="1">
      <c r="E392" s="42"/>
    </row>
    <row r="393" ht="14.25" customHeight="1">
      <c r="E393" s="42"/>
    </row>
    <row r="394" ht="14.25" customHeight="1">
      <c r="E394" s="42"/>
    </row>
    <row r="395" ht="14.25" customHeight="1">
      <c r="E395" s="42"/>
    </row>
    <row r="396" ht="14.25" customHeight="1">
      <c r="E396" s="42"/>
    </row>
    <row r="397" ht="14.25" customHeight="1">
      <c r="E397" s="42"/>
    </row>
    <row r="398" ht="14.25" customHeight="1">
      <c r="E398" s="42"/>
    </row>
    <row r="399" ht="14.25" customHeight="1">
      <c r="E399" s="42"/>
    </row>
    <row r="400" ht="14.25" customHeight="1">
      <c r="E400" s="42"/>
    </row>
    <row r="401" ht="14.25" customHeight="1">
      <c r="E401" s="42"/>
    </row>
    <row r="402" ht="14.25" customHeight="1">
      <c r="E402" s="42"/>
    </row>
    <row r="403" ht="14.25" customHeight="1">
      <c r="E403" s="42"/>
    </row>
    <row r="404" ht="14.25" customHeight="1">
      <c r="E404" s="42"/>
    </row>
    <row r="405" ht="14.25" customHeight="1">
      <c r="E405" s="42"/>
    </row>
    <row r="406" ht="14.25" customHeight="1">
      <c r="E406" s="4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8" max="8" width="25.71"/>
  </cols>
  <sheetData>
    <row r="1">
      <c r="A1" s="39" t="s">
        <v>1282</v>
      </c>
      <c r="B1" s="39" t="s">
        <v>1283</v>
      </c>
      <c r="C1" s="39" t="s">
        <v>1284</v>
      </c>
      <c r="D1" s="40" t="s">
        <v>1</v>
      </c>
      <c r="E1" s="41" t="s">
        <v>2</v>
      </c>
      <c r="F1" s="40" t="s">
        <v>1285</v>
      </c>
      <c r="G1" s="40" t="s">
        <v>1286</v>
      </c>
      <c r="H1" s="40" t="s">
        <v>1285</v>
      </c>
    </row>
    <row r="2">
      <c r="A2" s="12" t="s">
        <v>1287</v>
      </c>
      <c r="B2" s="12" t="s">
        <v>1022</v>
      </c>
      <c r="C2" s="43" t="s">
        <v>1288</v>
      </c>
      <c r="D2" s="43" t="s">
        <v>1023</v>
      </c>
      <c r="E2" s="29" t="s">
        <v>1024</v>
      </c>
      <c r="F2" s="24">
        <v>46159.65702546296</v>
      </c>
      <c r="G2" s="43" t="s">
        <v>1289</v>
      </c>
      <c r="H2" s="24">
        <v>46161.67542824074</v>
      </c>
      <c r="J2" s="20" t="s">
        <v>1027</v>
      </c>
      <c r="O2" s="12" t="s">
        <v>1290</v>
      </c>
    </row>
    <row r="3">
      <c r="A3" s="12" t="s">
        <v>1291</v>
      </c>
      <c r="B3" s="12" t="s">
        <v>1276</v>
      </c>
      <c r="C3" s="43" t="s">
        <v>1292</v>
      </c>
      <c r="D3" s="43" t="s">
        <v>1277</v>
      </c>
      <c r="E3" s="29" t="s">
        <v>1278</v>
      </c>
      <c r="F3" s="24">
        <v>46161.66396990741</v>
      </c>
      <c r="G3" s="43" t="s">
        <v>1293</v>
      </c>
      <c r="H3" s="24">
        <v>46161.66396990741</v>
      </c>
      <c r="J3" s="20" t="s">
        <v>1281</v>
      </c>
      <c r="O3" s="12" t="s">
        <v>1290</v>
      </c>
    </row>
    <row r="4">
      <c r="A4" s="12" t="s">
        <v>1294</v>
      </c>
      <c r="B4" s="12" t="s">
        <v>1125</v>
      </c>
      <c r="C4" s="43" t="s">
        <v>1295</v>
      </c>
      <c r="D4" s="43" t="s">
        <v>1126</v>
      </c>
      <c r="E4" s="29" t="s">
        <v>1127</v>
      </c>
      <c r="F4" s="24">
        <v>46161.66863425926</v>
      </c>
      <c r="G4" s="43" t="s">
        <v>1293</v>
      </c>
      <c r="H4" s="24">
        <v>46161.66863425926</v>
      </c>
      <c r="J4" s="20" t="s">
        <v>1129</v>
      </c>
      <c r="O4" s="12" t="s">
        <v>1290</v>
      </c>
    </row>
    <row r="5">
      <c r="A5" s="12" t="s">
        <v>1296</v>
      </c>
      <c r="B5" s="7" t="s">
        <v>15</v>
      </c>
      <c r="C5" s="43" t="s">
        <v>1297</v>
      </c>
      <c r="D5" s="43" t="s">
        <v>952</v>
      </c>
      <c r="E5" s="29" t="s">
        <v>17</v>
      </c>
      <c r="F5" s="24">
        <v>46161.670486111114</v>
      </c>
      <c r="G5" s="43" t="s">
        <v>1293</v>
      </c>
      <c r="H5" s="24">
        <v>46161.670486111114</v>
      </c>
      <c r="J5" s="20" t="s">
        <v>955</v>
      </c>
      <c r="O5" s="12" t="s">
        <v>1290</v>
      </c>
    </row>
    <row r="6">
      <c r="A6" s="12" t="s">
        <v>1298</v>
      </c>
      <c r="B6" s="12" t="s">
        <v>1169</v>
      </c>
      <c r="C6" s="43" t="s">
        <v>1299</v>
      </c>
      <c r="D6" s="12" t="s">
        <v>1170</v>
      </c>
      <c r="E6" s="29" t="s">
        <v>1171</v>
      </c>
      <c r="F6" s="24">
        <v>46161.67542824074</v>
      </c>
      <c r="G6" s="43" t="s">
        <v>1293</v>
      </c>
      <c r="H6" s="24">
        <v>46161.67542824074</v>
      </c>
      <c r="J6" s="20" t="s">
        <v>1173</v>
      </c>
      <c r="O6" s="12" t="s">
        <v>1290</v>
      </c>
    </row>
    <row r="7">
      <c r="A7" s="12" t="s">
        <v>1300</v>
      </c>
      <c r="B7" s="12" t="s">
        <v>337</v>
      </c>
      <c r="C7" s="43" t="s">
        <v>1301</v>
      </c>
      <c r="D7" s="12" t="s">
        <v>338</v>
      </c>
      <c r="E7" s="29" t="s">
        <v>339</v>
      </c>
      <c r="F7" s="24">
        <v>46161.71797453704</v>
      </c>
      <c r="G7" s="43" t="s">
        <v>1293</v>
      </c>
      <c r="H7" s="24">
        <v>46161.71797453704</v>
      </c>
      <c r="J7" s="20" t="s">
        <v>342</v>
      </c>
      <c r="O7" s="12" t="s">
        <v>1290</v>
      </c>
    </row>
    <row r="8">
      <c r="A8" s="12" t="s">
        <v>1302</v>
      </c>
      <c r="B8" s="12" t="s">
        <v>1140</v>
      </c>
      <c r="C8" s="43" t="s">
        <v>1303</v>
      </c>
      <c r="D8" s="43" t="s">
        <v>96</v>
      </c>
      <c r="E8" s="29" t="s">
        <v>1141</v>
      </c>
      <c r="F8" s="24">
        <v>46161.837175925924</v>
      </c>
      <c r="G8" s="43" t="s">
        <v>1293</v>
      </c>
      <c r="H8" s="24">
        <v>46161.837175925924</v>
      </c>
      <c r="J8" s="20" t="s">
        <v>1142</v>
      </c>
      <c r="O8" s="12" t="s">
        <v>1290</v>
      </c>
    </row>
    <row r="9">
      <c r="A9" s="12" t="s">
        <v>1304</v>
      </c>
      <c r="B9" s="12" t="s">
        <v>972</v>
      </c>
      <c r="C9" s="43" t="s">
        <v>1305</v>
      </c>
      <c r="D9" s="43" t="s">
        <v>973</v>
      </c>
      <c r="E9" s="29" t="s">
        <v>974</v>
      </c>
      <c r="F9" s="24">
        <v>46161.98024305556</v>
      </c>
      <c r="G9" s="43" t="s">
        <v>1293</v>
      </c>
      <c r="H9" s="24">
        <v>46161.98024305556</v>
      </c>
      <c r="J9" s="20" t="s">
        <v>976</v>
      </c>
      <c r="O9" s="12" t="s">
        <v>1290</v>
      </c>
    </row>
    <row r="10">
      <c r="A10" s="12" t="s">
        <v>1306</v>
      </c>
      <c r="B10" s="12" t="s">
        <v>600</v>
      </c>
      <c r="C10" s="43" t="s">
        <v>1307</v>
      </c>
      <c r="D10" s="12" t="s">
        <v>601</v>
      </c>
      <c r="E10" s="29" t="s">
        <v>602</v>
      </c>
      <c r="F10" s="24">
        <v>46162.33696759259</v>
      </c>
      <c r="G10" s="43" t="s">
        <v>1293</v>
      </c>
      <c r="H10" s="24">
        <v>46162.33696759259</v>
      </c>
      <c r="J10" s="20" t="s">
        <v>604</v>
      </c>
      <c r="O10" s="12" t="s">
        <v>1290</v>
      </c>
    </row>
    <row r="11">
      <c r="A11" s="12" t="s">
        <v>1308</v>
      </c>
      <c r="B11" s="12" t="s">
        <v>27</v>
      </c>
      <c r="C11" s="43" t="s">
        <v>1309</v>
      </c>
      <c r="D11" s="12" t="s">
        <v>28</v>
      </c>
      <c r="E11" s="29" t="s">
        <v>29</v>
      </c>
      <c r="F11" s="24">
        <v>46162.7534375</v>
      </c>
      <c r="G11" s="43" t="s">
        <v>1293</v>
      </c>
      <c r="H11" s="24">
        <v>46162.7534375</v>
      </c>
      <c r="J11" s="20" t="s">
        <v>32</v>
      </c>
      <c r="O11" s="12" t="s">
        <v>1290</v>
      </c>
    </row>
    <row r="12">
      <c r="A12" s="12" t="s">
        <v>1310</v>
      </c>
      <c r="B12" s="12" t="s">
        <v>993</v>
      </c>
      <c r="C12" s="43" t="s">
        <v>1311</v>
      </c>
      <c r="D12" s="12" t="s">
        <v>994</v>
      </c>
      <c r="E12" s="29" t="s">
        <v>995</v>
      </c>
      <c r="F12" s="24">
        <v>46162.79907407407</v>
      </c>
      <c r="G12" s="43" t="s">
        <v>1293</v>
      </c>
      <c r="H12" s="24">
        <v>46162.79907407407</v>
      </c>
      <c r="J12" s="20" t="s">
        <v>998</v>
      </c>
      <c r="O12" s="12" t="s">
        <v>1290</v>
      </c>
    </row>
    <row r="13">
      <c r="E13" s="42"/>
    </row>
    <row r="14">
      <c r="E14" s="42"/>
    </row>
    <row r="15">
      <c r="E15" s="42"/>
      <c r="N15" s="43" t="s">
        <v>1312</v>
      </c>
    </row>
    <row r="16">
      <c r="E16" s="42"/>
      <c r="N16" s="43" t="s">
        <v>1313</v>
      </c>
    </row>
    <row r="17">
      <c r="E17" s="42"/>
    </row>
    <row r="18">
      <c r="E18" s="42"/>
    </row>
    <row r="19">
      <c r="E19" s="42"/>
    </row>
    <row r="20">
      <c r="E20" s="42"/>
    </row>
    <row r="21">
      <c r="E21" s="42"/>
    </row>
    <row r="22">
      <c r="E22" s="42"/>
    </row>
    <row r="23">
      <c r="E23" s="42"/>
    </row>
    <row r="24">
      <c r="E24" s="42"/>
    </row>
    <row r="25">
      <c r="E25" s="42"/>
    </row>
    <row r="26">
      <c r="E26" s="42"/>
    </row>
    <row r="27">
      <c r="E27" s="42"/>
    </row>
    <row r="28">
      <c r="E28" s="42"/>
    </row>
    <row r="29">
      <c r="E29" s="42"/>
    </row>
    <row r="30">
      <c r="E30" s="42"/>
    </row>
    <row r="31">
      <c r="E31" s="42"/>
    </row>
    <row r="32">
      <c r="E32" s="42"/>
    </row>
    <row r="33">
      <c r="E33" s="42"/>
    </row>
    <row r="34">
      <c r="E34" s="42"/>
    </row>
    <row r="35">
      <c r="E35" s="42"/>
    </row>
    <row r="36">
      <c r="E36" s="42"/>
    </row>
    <row r="37">
      <c r="E37" s="42"/>
    </row>
    <row r="38">
      <c r="E38" s="42"/>
    </row>
    <row r="39">
      <c r="E39" s="42"/>
    </row>
    <row r="40">
      <c r="E40" s="42"/>
    </row>
    <row r="41">
      <c r="E41" s="42"/>
    </row>
    <row r="42">
      <c r="E42" s="42"/>
    </row>
    <row r="43">
      <c r="E43" s="42"/>
    </row>
    <row r="44">
      <c r="E44" s="42"/>
    </row>
    <row r="45">
      <c r="E45" s="42"/>
    </row>
    <row r="46">
      <c r="E46" s="42"/>
    </row>
    <row r="47">
      <c r="E47" s="42"/>
    </row>
    <row r="48">
      <c r="E48" s="42"/>
    </row>
    <row r="49">
      <c r="E49" s="42"/>
    </row>
    <row r="50">
      <c r="E50" s="42"/>
    </row>
    <row r="51">
      <c r="E51" s="42"/>
    </row>
    <row r="52">
      <c r="E52" s="42"/>
    </row>
    <row r="53">
      <c r="E53" s="42"/>
    </row>
    <row r="54">
      <c r="E54" s="42"/>
    </row>
    <row r="55">
      <c r="E55" s="42"/>
    </row>
    <row r="56">
      <c r="E56" s="42"/>
    </row>
    <row r="57">
      <c r="E57" s="42"/>
    </row>
    <row r="58">
      <c r="E58" s="42"/>
    </row>
    <row r="59">
      <c r="E59" s="42"/>
    </row>
    <row r="60">
      <c r="E60" s="42"/>
    </row>
    <row r="61">
      <c r="E61" s="42"/>
    </row>
    <row r="62">
      <c r="E62" s="42"/>
    </row>
    <row r="63">
      <c r="E63" s="42"/>
    </row>
    <row r="64">
      <c r="E64" s="42"/>
    </row>
    <row r="65">
      <c r="E65" s="42"/>
    </row>
    <row r="66">
      <c r="E66" s="42"/>
    </row>
    <row r="67">
      <c r="E67" s="42"/>
    </row>
    <row r="68">
      <c r="E68" s="42"/>
    </row>
    <row r="69">
      <c r="E69" s="42"/>
    </row>
    <row r="70">
      <c r="E70" s="42"/>
    </row>
    <row r="71">
      <c r="E71" s="42"/>
    </row>
    <row r="72">
      <c r="E72" s="42"/>
    </row>
    <row r="73">
      <c r="E73" s="42"/>
    </row>
    <row r="74">
      <c r="E74" s="42"/>
    </row>
    <row r="75">
      <c r="E75" s="42"/>
    </row>
    <row r="76">
      <c r="E76" s="42"/>
    </row>
    <row r="77">
      <c r="E77" s="42"/>
    </row>
    <row r="78">
      <c r="E78" s="42"/>
    </row>
    <row r="79">
      <c r="E79" s="42"/>
    </row>
    <row r="80">
      <c r="E80" s="42"/>
    </row>
    <row r="81">
      <c r="E81" s="42"/>
    </row>
    <row r="82">
      <c r="E82" s="42"/>
    </row>
    <row r="83">
      <c r="E83" s="42"/>
    </row>
    <row r="84">
      <c r="E84" s="42"/>
    </row>
    <row r="85">
      <c r="E85" s="42"/>
    </row>
    <row r="86">
      <c r="E86" s="42"/>
    </row>
    <row r="87">
      <c r="E87" s="42"/>
    </row>
    <row r="88">
      <c r="E88" s="42"/>
    </row>
    <row r="89">
      <c r="E89" s="42"/>
    </row>
    <row r="90">
      <c r="E90" s="42"/>
    </row>
    <row r="91">
      <c r="E91" s="42"/>
    </row>
    <row r="92">
      <c r="E92" s="42"/>
    </row>
    <row r="93">
      <c r="E93" s="42"/>
    </row>
    <row r="94">
      <c r="E94" s="42"/>
    </row>
    <row r="95">
      <c r="E95" s="42"/>
    </row>
    <row r="96">
      <c r="E96" s="42"/>
    </row>
    <row r="97">
      <c r="E97" s="42"/>
    </row>
    <row r="98">
      <c r="E98" s="42"/>
    </row>
    <row r="99">
      <c r="E99" s="42"/>
    </row>
    <row r="100">
      <c r="E100" s="42"/>
    </row>
    <row r="101">
      <c r="E101" s="42"/>
    </row>
    <row r="102">
      <c r="E102" s="42"/>
    </row>
    <row r="103">
      <c r="E103" s="42"/>
    </row>
    <row r="104">
      <c r="E104" s="42"/>
    </row>
    <row r="105">
      <c r="E105" s="42"/>
    </row>
    <row r="106">
      <c r="E106" s="42"/>
    </row>
    <row r="107">
      <c r="E107" s="42"/>
    </row>
    <row r="108">
      <c r="E108" s="42"/>
    </row>
    <row r="109">
      <c r="E109" s="42"/>
    </row>
    <row r="110">
      <c r="E110" s="42"/>
    </row>
    <row r="111">
      <c r="E111" s="42"/>
    </row>
    <row r="112">
      <c r="E112" s="42"/>
    </row>
    <row r="113">
      <c r="E113" s="42"/>
    </row>
    <row r="114">
      <c r="E114" s="42"/>
    </row>
    <row r="115">
      <c r="E115" s="42"/>
    </row>
    <row r="116">
      <c r="E116" s="42"/>
    </row>
    <row r="117">
      <c r="E117" s="42"/>
    </row>
    <row r="118">
      <c r="E118" s="42"/>
    </row>
    <row r="119">
      <c r="E119" s="42"/>
    </row>
    <row r="120">
      <c r="E120" s="42"/>
    </row>
    <row r="121">
      <c r="E121" s="42"/>
    </row>
    <row r="122">
      <c r="E122" s="42"/>
    </row>
    <row r="123">
      <c r="E123" s="42"/>
    </row>
    <row r="124">
      <c r="E124" s="42"/>
    </row>
    <row r="125">
      <c r="E125" s="42"/>
    </row>
    <row r="126">
      <c r="E126" s="42"/>
    </row>
    <row r="127">
      <c r="E127" s="42"/>
    </row>
    <row r="128">
      <c r="E128" s="42"/>
    </row>
    <row r="129">
      <c r="E129" s="42"/>
    </row>
    <row r="130">
      <c r="E130" s="42"/>
    </row>
    <row r="131">
      <c r="E131" s="42"/>
    </row>
    <row r="132">
      <c r="E132" s="42"/>
    </row>
    <row r="133">
      <c r="E133" s="42"/>
    </row>
    <row r="134">
      <c r="E134" s="42"/>
    </row>
    <row r="135">
      <c r="E135" s="42"/>
    </row>
    <row r="136">
      <c r="E136" s="42"/>
    </row>
    <row r="137">
      <c r="E137" s="42"/>
    </row>
    <row r="138">
      <c r="E138" s="42"/>
    </row>
    <row r="139">
      <c r="E139" s="42"/>
    </row>
    <row r="140">
      <c r="E140" s="42"/>
    </row>
    <row r="141">
      <c r="E141" s="42"/>
    </row>
    <row r="142">
      <c r="E142" s="42"/>
    </row>
    <row r="143">
      <c r="E143" s="42"/>
    </row>
    <row r="144">
      <c r="E144" s="42"/>
    </row>
    <row r="145">
      <c r="E145" s="42"/>
    </row>
    <row r="146">
      <c r="E146" s="42"/>
    </row>
    <row r="147">
      <c r="E147" s="42"/>
    </row>
    <row r="148">
      <c r="E148" s="42"/>
    </row>
    <row r="149">
      <c r="E149" s="42"/>
    </row>
    <row r="150">
      <c r="E150" s="42"/>
    </row>
    <row r="151">
      <c r="E151" s="42"/>
    </row>
    <row r="152">
      <c r="E152" s="42"/>
    </row>
    <row r="153">
      <c r="E153" s="42"/>
    </row>
    <row r="154">
      <c r="E154" s="42"/>
    </row>
    <row r="155">
      <c r="E155" s="42"/>
    </row>
    <row r="156">
      <c r="E156" s="42"/>
    </row>
    <row r="157">
      <c r="E157" s="42"/>
    </row>
    <row r="158">
      <c r="E158" s="42"/>
    </row>
    <row r="159">
      <c r="E159" s="42"/>
    </row>
    <row r="160">
      <c r="E160" s="42"/>
    </row>
    <row r="161">
      <c r="E161" s="42"/>
    </row>
    <row r="162">
      <c r="E162" s="42"/>
    </row>
    <row r="163">
      <c r="E163" s="42"/>
    </row>
    <row r="164">
      <c r="E164" s="42"/>
    </row>
    <row r="165">
      <c r="E165" s="42"/>
    </row>
    <row r="166">
      <c r="E166" s="42"/>
    </row>
    <row r="167">
      <c r="E167" s="42"/>
    </row>
    <row r="168">
      <c r="E168" s="42"/>
    </row>
    <row r="169">
      <c r="E169" s="42"/>
    </row>
    <row r="170">
      <c r="E170" s="42"/>
    </row>
    <row r="171">
      <c r="E171" s="42"/>
    </row>
    <row r="172">
      <c r="E172" s="42"/>
    </row>
    <row r="173">
      <c r="E173" s="42"/>
    </row>
    <row r="174">
      <c r="E174" s="42"/>
    </row>
    <row r="175">
      <c r="E175" s="42"/>
    </row>
    <row r="176">
      <c r="E176" s="42"/>
    </row>
    <row r="177">
      <c r="E177" s="42"/>
    </row>
    <row r="178">
      <c r="E178" s="42"/>
    </row>
    <row r="179">
      <c r="E179" s="42"/>
    </row>
    <row r="180">
      <c r="E180" s="42"/>
    </row>
    <row r="181">
      <c r="E181" s="42"/>
    </row>
    <row r="182">
      <c r="E182" s="42"/>
    </row>
    <row r="183">
      <c r="E183" s="42"/>
    </row>
    <row r="184">
      <c r="E184" s="42"/>
    </row>
    <row r="185">
      <c r="E185" s="42"/>
    </row>
    <row r="186">
      <c r="E186" s="42"/>
    </row>
    <row r="187">
      <c r="E187" s="42"/>
    </row>
    <row r="188">
      <c r="E188" s="42"/>
    </row>
    <row r="189">
      <c r="E189" s="42"/>
    </row>
    <row r="190">
      <c r="E190" s="42"/>
    </row>
    <row r="191">
      <c r="E191" s="42"/>
    </row>
    <row r="192">
      <c r="E192" s="42"/>
    </row>
    <row r="193">
      <c r="E193" s="42"/>
    </row>
    <row r="194">
      <c r="E194" s="42"/>
    </row>
    <row r="195">
      <c r="E195" s="42"/>
    </row>
    <row r="196">
      <c r="E196" s="42"/>
    </row>
    <row r="197">
      <c r="E197" s="42"/>
    </row>
    <row r="198">
      <c r="E198" s="42"/>
    </row>
    <row r="199">
      <c r="E199" s="42"/>
    </row>
    <row r="200">
      <c r="E200" s="42"/>
    </row>
    <row r="201">
      <c r="E201" s="42"/>
    </row>
    <row r="202">
      <c r="E202" s="42"/>
    </row>
    <row r="203">
      <c r="E203" s="42"/>
    </row>
    <row r="204">
      <c r="E204" s="42"/>
    </row>
    <row r="205">
      <c r="E205" s="42"/>
    </row>
    <row r="206">
      <c r="E206" s="42"/>
    </row>
    <row r="207">
      <c r="E207" s="42"/>
    </row>
    <row r="208">
      <c r="E208" s="42"/>
    </row>
    <row r="209">
      <c r="E209" s="42"/>
    </row>
    <row r="210">
      <c r="E210" s="42"/>
    </row>
    <row r="211">
      <c r="E211" s="42"/>
    </row>
    <row r="212">
      <c r="E212" s="42"/>
    </row>
    <row r="213">
      <c r="E213" s="42"/>
    </row>
    <row r="214">
      <c r="E214" s="42"/>
    </row>
    <row r="215">
      <c r="E215" s="42"/>
    </row>
    <row r="216">
      <c r="E216" s="42"/>
    </row>
    <row r="217">
      <c r="E217" s="42"/>
    </row>
    <row r="218">
      <c r="E218" s="42"/>
    </row>
    <row r="219">
      <c r="E219" s="42"/>
    </row>
    <row r="220">
      <c r="E220" s="42"/>
    </row>
    <row r="221">
      <c r="E221" s="42"/>
    </row>
    <row r="222">
      <c r="E222" s="42"/>
    </row>
    <row r="223">
      <c r="E223" s="42"/>
    </row>
    <row r="224">
      <c r="E224" s="42"/>
    </row>
    <row r="225">
      <c r="E225" s="42"/>
    </row>
    <row r="226">
      <c r="E226" s="42"/>
    </row>
    <row r="227">
      <c r="E227" s="42"/>
    </row>
    <row r="228">
      <c r="E228" s="42"/>
    </row>
    <row r="229">
      <c r="E229" s="42"/>
    </row>
    <row r="230">
      <c r="E230" s="42"/>
    </row>
    <row r="231">
      <c r="E231" s="42"/>
    </row>
    <row r="232">
      <c r="E232" s="42"/>
    </row>
    <row r="233">
      <c r="E233" s="42"/>
    </row>
    <row r="234">
      <c r="E234" s="42"/>
    </row>
    <row r="235">
      <c r="E235" s="42"/>
    </row>
    <row r="236">
      <c r="E236" s="42"/>
    </row>
    <row r="237">
      <c r="E237" s="42"/>
    </row>
    <row r="238">
      <c r="E238" s="42"/>
    </row>
    <row r="239">
      <c r="E239" s="42"/>
    </row>
    <row r="240">
      <c r="E240" s="42"/>
    </row>
    <row r="241">
      <c r="E241" s="42"/>
    </row>
    <row r="242">
      <c r="E242" s="42"/>
    </row>
    <row r="243">
      <c r="E243" s="42"/>
    </row>
    <row r="244">
      <c r="E244" s="42"/>
    </row>
    <row r="245">
      <c r="E245" s="42"/>
    </row>
    <row r="246">
      <c r="E246" s="42"/>
    </row>
    <row r="247">
      <c r="E247" s="42"/>
    </row>
    <row r="248">
      <c r="E248" s="42"/>
    </row>
    <row r="249">
      <c r="E249" s="42"/>
    </row>
    <row r="250">
      <c r="E250" s="42"/>
    </row>
    <row r="251">
      <c r="E251" s="42"/>
    </row>
    <row r="252">
      <c r="E252" s="42"/>
    </row>
    <row r="253">
      <c r="E253" s="42"/>
    </row>
    <row r="254">
      <c r="E254" s="42"/>
    </row>
    <row r="255">
      <c r="E255" s="42"/>
    </row>
    <row r="256">
      <c r="E256" s="42"/>
    </row>
    <row r="257">
      <c r="E257" s="42"/>
    </row>
    <row r="258">
      <c r="E258" s="42"/>
    </row>
    <row r="259">
      <c r="E259" s="42"/>
    </row>
    <row r="260">
      <c r="E260" s="42"/>
    </row>
    <row r="261">
      <c r="E261" s="42"/>
    </row>
    <row r="262">
      <c r="E262" s="42"/>
    </row>
    <row r="263">
      <c r="E263" s="42"/>
    </row>
    <row r="264">
      <c r="E264" s="42"/>
    </row>
    <row r="265">
      <c r="E265" s="42"/>
    </row>
    <row r="266">
      <c r="E266" s="42"/>
    </row>
    <row r="267">
      <c r="E267" s="42"/>
    </row>
    <row r="268">
      <c r="E268" s="42"/>
    </row>
    <row r="269">
      <c r="E269" s="42"/>
    </row>
    <row r="270">
      <c r="E270" s="42"/>
    </row>
    <row r="271">
      <c r="E271" s="42"/>
    </row>
    <row r="272">
      <c r="E272" s="42"/>
    </row>
    <row r="273">
      <c r="E273" s="42"/>
    </row>
    <row r="274">
      <c r="E274" s="42"/>
    </row>
    <row r="275">
      <c r="E275" s="42"/>
    </row>
    <row r="276">
      <c r="E276" s="42"/>
    </row>
    <row r="277">
      <c r="E277" s="42"/>
    </row>
    <row r="278">
      <c r="E278" s="42"/>
    </row>
    <row r="279">
      <c r="E279" s="42"/>
    </row>
    <row r="280">
      <c r="E280" s="42"/>
    </row>
    <row r="281">
      <c r="E281" s="42"/>
    </row>
    <row r="282">
      <c r="E282" s="42"/>
    </row>
    <row r="283">
      <c r="E283" s="42"/>
    </row>
    <row r="284">
      <c r="E284" s="42"/>
    </row>
    <row r="285">
      <c r="E285" s="42"/>
    </row>
    <row r="286">
      <c r="E286" s="42"/>
    </row>
    <row r="287">
      <c r="E287" s="42"/>
    </row>
    <row r="288">
      <c r="E288" s="42"/>
    </row>
    <row r="289">
      <c r="E289" s="42"/>
    </row>
    <row r="290">
      <c r="E290" s="42"/>
    </row>
    <row r="291">
      <c r="E291" s="42"/>
    </row>
    <row r="292">
      <c r="E292" s="42"/>
    </row>
    <row r="293">
      <c r="E293" s="42"/>
    </row>
    <row r="294">
      <c r="E294" s="42"/>
    </row>
    <row r="295">
      <c r="E295" s="42"/>
    </row>
    <row r="296">
      <c r="E296" s="42"/>
    </row>
    <row r="297">
      <c r="E297" s="42"/>
    </row>
    <row r="298">
      <c r="E298" s="42"/>
    </row>
    <row r="299">
      <c r="E299" s="42"/>
    </row>
    <row r="300">
      <c r="E300" s="42"/>
    </row>
    <row r="301">
      <c r="E301" s="42"/>
    </row>
    <row r="302">
      <c r="E302" s="42"/>
    </row>
    <row r="303">
      <c r="E303" s="42"/>
    </row>
    <row r="304">
      <c r="E304" s="42"/>
    </row>
    <row r="305">
      <c r="E305" s="42"/>
    </row>
    <row r="306">
      <c r="E306" s="42"/>
    </row>
    <row r="307">
      <c r="E307" s="42"/>
    </row>
    <row r="308">
      <c r="E308" s="42"/>
    </row>
    <row r="309">
      <c r="E309" s="42"/>
    </row>
    <row r="310">
      <c r="E310" s="42"/>
    </row>
    <row r="311">
      <c r="E311" s="42"/>
    </row>
    <row r="312">
      <c r="E312" s="42"/>
    </row>
    <row r="313">
      <c r="E313" s="42"/>
    </row>
    <row r="314">
      <c r="E314" s="42"/>
    </row>
    <row r="315">
      <c r="E315" s="42"/>
    </row>
    <row r="316">
      <c r="E316" s="42"/>
    </row>
    <row r="317">
      <c r="E317" s="42"/>
    </row>
    <row r="318">
      <c r="E318" s="42"/>
    </row>
    <row r="319">
      <c r="E319" s="42"/>
    </row>
    <row r="320">
      <c r="E320" s="42"/>
    </row>
    <row r="321">
      <c r="E321" s="42"/>
    </row>
    <row r="322">
      <c r="E322" s="42"/>
    </row>
    <row r="323">
      <c r="E323" s="42"/>
    </row>
    <row r="324">
      <c r="E324" s="42"/>
    </row>
    <row r="325">
      <c r="E325" s="42"/>
    </row>
    <row r="326">
      <c r="E326" s="42"/>
    </row>
    <row r="327">
      <c r="E327" s="42"/>
    </row>
    <row r="328">
      <c r="E328" s="42"/>
    </row>
    <row r="329">
      <c r="E329" s="42"/>
    </row>
    <row r="330">
      <c r="E330" s="42"/>
    </row>
    <row r="331">
      <c r="E331" s="42"/>
    </row>
    <row r="332">
      <c r="E332" s="42"/>
    </row>
    <row r="333">
      <c r="E333" s="42"/>
    </row>
    <row r="334">
      <c r="E334" s="42"/>
    </row>
    <row r="335">
      <c r="E335" s="42"/>
    </row>
    <row r="336">
      <c r="E336" s="42"/>
    </row>
    <row r="337">
      <c r="E337" s="42"/>
    </row>
    <row r="338">
      <c r="E338" s="42"/>
    </row>
    <row r="339">
      <c r="E339" s="42"/>
    </row>
    <row r="340">
      <c r="E340" s="42"/>
    </row>
    <row r="341">
      <c r="E341" s="42"/>
    </row>
    <row r="342">
      <c r="E342" s="42"/>
    </row>
    <row r="343">
      <c r="E343" s="42"/>
    </row>
    <row r="344">
      <c r="E344" s="42"/>
    </row>
    <row r="345">
      <c r="E345" s="42"/>
    </row>
    <row r="346">
      <c r="E346" s="42"/>
    </row>
    <row r="347">
      <c r="E347" s="42"/>
    </row>
    <row r="348">
      <c r="E348" s="42"/>
    </row>
    <row r="349">
      <c r="E349" s="42"/>
    </row>
    <row r="350">
      <c r="E350" s="42"/>
    </row>
    <row r="351">
      <c r="E351" s="42"/>
    </row>
    <row r="352">
      <c r="E352" s="42"/>
    </row>
    <row r="353">
      <c r="E353" s="42"/>
    </row>
    <row r="354">
      <c r="E354" s="42"/>
    </row>
    <row r="355">
      <c r="E355" s="42"/>
    </row>
    <row r="356">
      <c r="E356" s="42"/>
    </row>
    <row r="357">
      <c r="E357" s="42"/>
    </row>
    <row r="358">
      <c r="E358" s="42"/>
    </row>
    <row r="359">
      <c r="E359" s="42"/>
    </row>
    <row r="360">
      <c r="E360" s="42"/>
    </row>
    <row r="361">
      <c r="E361" s="42"/>
    </row>
    <row r="362">
      <c r="E362" s="42"/>
    </row>
    <row r="363">
      <c r="E363" s="42"/>
    </row>
    <row r="364">
      <c r="E364" s="42"/>
    </row>
    <row r="365">
      <c r="E365" s="42"/>
    </row>
    <row r="366">
      <c r="E366" s="42"/>
    </row>
    <row r="367">
      <c r="E367" s="42"/>
    </row>
    <row r="368">
      <c r="E368" s="42"/>
    </row>
    <row r="369">
      <c r="E369" s="42"/>
    </row>
    <row r="370">
      <c r="E370" s="42"/>
    </row>
    <row r="371">
      <c r="E371" s="42"/>
    </row>
    <row r="372">
      <c r="E372" s="42"/>
    </row>
    <row r="373">
      <c r="E373" s="42"/>
    </row>
    <row r="374">
      <c r="E374" s="42"/>
    </row>
    <row r="375">
      <c r="E375" s="42"/>
    </row>
    <row r="376">
      <c r="E376" s="42"/>
    </row>
    <row r="377">
      <c r="E377" s="42"/>
    </row>
    <row r="378">
      <c r="E378" s="42"/>
    </row>
    <row r="379">
      <c r="E379" s="42"/>
    </row>
    <row r="380">
      <c r="E380" s="42"/>
    </row>
    <row r="381">
      <c r="E381" s="42"/>
    </row>
    <row r="382">
      <c r="E382" s="42"/>
    </row>
    <row r="383">
      <c r="E383" s="42"/>
    </row>
    <row r="384">
      <c r="E384" s="42"/>
    </row>
    <row r="385">
      <c r="E385" s="42"/>
    </row>
    <row r="386">
      <c r="E386" s="42"/>
    </row>
    <row r="387">
      <c r="E387" s="42"/>
    </row>
    <row r="388">
      <c r="E388" s="42"/>
    </row>
    <row r="389">
      <c r="E389" s="42"/>
    </row>
    <row r="390">
      <c r="E390" s="42"/>
    </row>
    <row r="391">
      <c r="E391" s="42"/>
    </row>
    <row r="392">
      <c r="E392" s="42"/>
    </row>
    <row r="393">
      <c r="E393" s="42"/>
    </row>
    <row r="394">
      <c r="E394" s="42"/>
    </row>
    <row r="395">
      <c r="E395" s="42"/>
    </row>
    <row r="396">
      <c r="E396" s="42"/>
    </row>
    <row r="397">
      <c r="E397" s="42"/>
    </row>
    <row r="398">
      <c r="E398" s="42"/>
    </row>
    <row r="399">
      <c r="E399" s="42"/>
    </row>
    <row r="400">
      <c r="E400" s="42"/>
    </row>
    <row r="401">
      <c r="E401" s="42"/>
    </row>
    <row r="402">
      <c r="E402" s="42"/>
    </row>
    <row r="403">
      <c r="E403" s="42"/>
    </row>
    <row r="404">
      <c r="E404" s="42"/>
    </row>
    <row r="405">
      <c r="E405" s="42"/>
    </row>
    <row r="406">
      <c r="E406" s="42"/>
    </row>
    <row r="407">
      <c r="E407" s="42"/>
    </row>
    <row r="408">
      <c r="E408" s="42"/>
    </row>
    <row r="409">
      <c r="E409" s="42"/>
    </row>
    <row r="410">
      <c r="E410" s="42"/>
    </row>
    <row r="411">
      <c r="E411" s="42"/>
    </row>
    <row r="412">
      <c r="E412" s="42"/>
    </row>
    <row r="413">
      <c r="E413" s="42"/>
    </row>
    <row r="414">
      <c r="E414" s="42"/>
    </row>
    <row r="415">
      <c r="E415" s="42"/>
    </row>
    <row r="416">
      <c r="E416" s="42"/>
    </row>
    <row r="417">
      <c r="E417" s="42"/>
    </row>
    <row r="418">
      <c r="E418" s="42"/>
    </row>
    <row r="419">
      <c r="E419" s="42"/>
    </row>
    <row r="420">
      <c r="E420" s="42"/>
    </row>
    <row r="421">
      <c r="E421" s="42"/>
    </row>
    <row r="422">
      <c r="E422" s="42"/>
    </row>
    <row r="423">
      <c r="E423" s="42"/>
    </row>
    <row r="424">
      <c r="E424" s="42"/>
    </row>
    <row r="425">
      <c r="E425" s="42"/>
    </row>
    <row r="426">
      <c r="E426" s="42"/>
    </row>
    <row r="427">
      <c r="E427" s="42"/>
    </row>
    <row r="428">
      <c r="E428" s="42"/>
    </row>
    <row r="429">
      <c r="E429" s="42"/>
    </row>
    <row r="430">
      <c r="E430" s="42"/>
    </row>
    <row r="431">
      <c r="E431" s="42"/>
    </row>
    <row r="432">
      <c r="E432" s="42"/>
    </row>
    <row r="433">
      <c r="E433" s="42"/>
    </row>
    <row r="434">
      <c r="E434" s="42"/>
    </row>
    <row r="435">
      <c r="E435" s="42"/>
    </row>
    <row r="436">
      <c r="E436" s="42"/>
    </row>
    <row r="437">
      <c r="E437" s="42"/>
    </row>
    <row r="438">
      <c r="E438" s="42"/>
    </row>
    <row r="439">
      <c r="E439" s="42"/>
    </row>
    <row r="440">
      <c r="E440" s="42"/>
    </row>
    <row r="441">
      <c r="E441" s="42"/>
    </row>
    <row r="442">
      <c r="E442" s="42"/>
    </row>
    <row r="443">
      <c r="E443" s="42"/>
    </row>
    <row r="444">
      <c r="E444" s="42"/>
    </row>
    <row r="445">
      <c r="E445" s="42"/>
    </row>
    <row r="446">
      <c r="E446" s="42"/>
    </row>
    <row r="447">
      <c r="E447" s="42"/>
    </row>
    <row r="448">
      <c r="E448" s="42"/>
    </row>
    <row r="449">
      <c r="E449" s="42"/>
    </row>
    <row r="450">
      <c r="E450" s="42"/>
    </row>
    <row r="451">
      <c r="E451" s="42"/>
    </row>
    <row r="452">
      <c r="E452" s="42"/>
    </row>
    <row r="453">
      <c r="E453" s="42"/>
    </row>
    <row r="454">
      <c r="E454" s="42"/>
    </row>
    <row r="455">
      <c r="E455" s="42"/>
    </row>
    <row r="456">
      <c r="E456" s="42"/>
    </row>
    <row r="457">
      <c r="E457" s="42"/>
    </row>
    <row r="458">
      <c r="E458" s="42"/>
    </row>
    <row r="459">
      <c r="E459" s="42"/>
    </row>
    <row r="460">
      <c r="E460" s="42"/>
    </row>
    <row r="461">
      <c r="E461" s="42"/>
    </row>
    <row r="462">
      <c r="E462" s="42"/>
    </row>
    <row r="463">
      <c r="E463" s="42"/>
    </row>
    <row r="464">
      <c r="E464" s="42"/>
    </row>
    <row r="465">
      <c r="E465" s="42"/>
    </row>
    <row r="466">
      <c r="E466" s="42"/>
    </row>
    <row r="467">
      <c r="E467" s="42"/>
    </row>
    <row r="468">
      <c r="E468" s="42"/>
    </row>
    <row r="469">
      <c r="E469" s="42"/>
    </row>
    <row r="470">
      <c r="E470" s="42"/>
    </row>
    <row r="471">
      <c r="E471" s="42"/>
    </row>
    <row r="472">
      <c r="E472" s="42"/>
    </row>
    <row r="473">
      <c r="E473" s="42"/>
    </row>
    <row r="474">
      <c r="E474" s="42"/>
    </row>
    <row r="475">
      <c r="E475" s="42"/>
    </row>
    <row r="476">
      <c r="E476" s="42"/>
    </row>
    <row r="477">
      <c r="E477" s="42"/>
    </row>
    <row r="478">
      <c r="E478" s="42"/>
    </row>
    <row r="479">
      <c r="E479" s="42"/>
    </row>
    <row r="480">
      <c r="E480" s="42"/>
    </row>
    <row r="481">
      <c r="E481" s="42"/>
    </row>
    <row r="482">
      <c r="E482" s="42"/>
    </row>
    <row r="483">
      <c r="E483" s="42"/>
    </row>
    <row r="484">
      <c r="E484" s="42"/>
    </row>
    <row r="485">
      <c r="E485" s="42"/>
    </row>
    <row r="486">
      <c r="E486" s="42"/>
    </row>
    <row r="487">
      <c r="E487" s="42"/>
    </row>
    <row r="488">
      <c r="E488" s="42"/>
    </row>
    <row r="489">
      <c r="E489" s="42"/>
    </row>
    <row r="490">
      <c r="E490" s="42"/>
    </row>
    <row r="491">
      <c r="E491" s="42"/>
    </row>
    <row r="492">
      <c r="E492" s="42"/>
    </row>
    <row r="493">
      <c r="E493" s="42"/>
    </row>
    <row r="494">
      <c r="E494" s="42"/>
    </row>
    <row r="495">
      <c r="E495" s="42"/>
    </row>
    <row r="496">
      <c r="E496" s="42"/>
    </row>
    <row r="497">
      <c r="E497" s="42"/>
    </row>
    <row r="498">
      <c r="E498" s="42"/>
    </row>
    <row r="499">
      <c r="E499" s="42"/>
    </row>
    <row r="500">
      <c r="E500" s="42"/>
    </row>
    <row r="501">
      <c r="E501" s="42"/>
    </row>
    <row r="502">
      <c r="E502" s="42"/>
    </row>
    <row r="503">
      <c r="E503" s="42"/>
    </row>
    <row r="504">
      <c r="E504" s="42"/>
    </row>
    <row r="505">
      <c r="E505" s="42"/>
    </row>
    <row r="506">
      <c r="E506" s="42"/>
    </row>
    <row r="507">
      <c r="E507" s="42"/>
    </row>
    <row r="508">
      <c r="E508" s="42"/>
    </row>
    <row r="509">
      <c r="E509" s="42"/>
    </row>
    <row r="510">
      <c r="E510" s="42"/>
    </row>
    <row r="511">
      <c r="E511" s="42"/>
    </row>
    <row r="512">
      <c r="E512" s="42"/>
    </row>
    <row r="513">
      <c r="E513" s="42"/>
    </row>
    <row r="514">
      <c r="E514" s="42"/>
    </row>
    <row r="515">
      <c r="E515" s="42"/>
    </row>
    <row r="516">
      <c r="E516" s="42"/>
    </row>
    <row r="517">
      <c r="E517" s="42"/>
    </row>
    <row r="518">
      <c r="E518" s="42"/>
    </row>
    <row r="519">
      <c r="E519" s="42"/>
    </row>
    <row r="520">
      <c r="E520" s="42"/>
    </row>
    <row r="521">
      <c r="E521" s="42"/>
    </row>
    <row r="522">
      <c r="E522" s="42"/>
    </row>
    <row r="523">
      <c r="E523" s="42"/>
    </row>
    <row r="524">
      <c r="E524" s="42"/>
    </row>
    <row r="525">
      <c r="E525" s="42"/>
    </row>
    <row r="526">
      <c r="E526" s="42"/>
    </row>
    <row r="527">
      <c r="E527" s="42"/>
    </row>
    <row r="528">
      <c r="E528" s="42"/>
    </row>
    <row r="529">
      <c r="E529" s="42"/>
    </row>
    <row r="530">
      <c r="E530" s="42"/>
    </row>
    <row r="531">
      <c r="E531" s="42"/>
    </row>
    <row r="532">
      <c r="E532" s="42"/>
    </row>
    <row r="533">
      <c r="E533" s="42"/>
    </row>
    <row r="534">
      <c r="E534" s="42"/>
    </row>
    <row r="535">
      <c r="E535" s="42"/>
    </row>
    <row r="536">
      <c r="E536" s="42"/>
    </row>
    <row r="537">
      <c r="E537" s="42"/>
    </row>
    <row r="538">
      <c r="E538" s="42"/>
    </row>
    <row r="539">
      <c r="E539" s="42"/>
    </row>
    <row r="540">
      <c r="E540" s="42"/>
    </row>
    <row r="541">
      <c r="E541" s="42"/>
    </row>
    <row r="542">
      <c r="E542" s="42"/>
    </row>
    <row r="543">
      <c r="E543" s="42"/>
    </row>
    <row r="544">
      <c r="E544" s="42"/>
    </row>
    <row r="545">
      <c r="E545" s="42"/>
    </row>
    <row r="546">
      <c r="E546" s="42"/>
    </row>
    <row r="547">
      <c r="E547" s="42"/>
    </row>
    <row r="548">
      <c r="E548" s="42"/>
    </row>
    <row r="549">
      <c r="E549" s="42"/>
    </row>
    <row r="550">
      <c r="E550" s="42"/>
    </row>
    <row r="551">
      <c r="E551" s="42"/>
    </row>
    <row r="552">
      <c r="E552" s="42"/>
    </row>
    <row r="553">
      <c r="E553" s="42"/>
    </row>
    <row r="554">
      <c r="E554" s="42"/>
    </row>
    <row r="555">
      <c r="E555" s="42"/>
    </row>
    <row r="556">
      <c r="E556" s="42"/>
    </row>
    <row r="557">
      <c r="E557" s="42"/>
    </row>
    <row r="558">
      <c r="E558" s="42"/>
    </row>
    <row r="559">
      <c r="E559" s="42"/>
    </row>
    <row r="560">
      <c r="E560" s="42"/>
    </row>
    <row r="561">
      <c r="E561" s="42"/>
    </row>
    <row r="562">
      <c r="E562" s="42"/>
    </row>
    <row r="563">
      <c r="E563" s="42"/>
    </row>
    <row r="564">
      <c r="E564" s="42"/>
    </row>
    <row r="565">
      <c r="E565" s="42"/>
    </row>
    <row r="566">
      <c r="E566" s="42"/>
    </row>
    <row r="567">
      <c r="E567" s="42"/>
    </row>
    <row r="568">
      <c r="E568" s="42"/>
    </row>
    <row r="569">
      <c r="E569" s="42"/>
    </row>
    <row r="570">
      <c r="E570" s="42"/>
    </row>
    <row r="571">
      <c r="E571" s="42"/>
    </row>
    <row r="572">
      <c r="E572" s="42"/>
    </row>
    <row r="573">
      <c r="E573" s="42"/>
    </row>
    <row r="574">
      <c r="E574" s="42"/>
    </row>
    <row r="575">
      <c r="E575" s="42"/>
    </row>
    <row r="576">
      <c r="E576" s="42"/>
    </row>
    <row r="577">
      <c r="E577" s="42"/>
    </row>
    <row r="578">
      <c r="E578" s="42"/>
    </row>
    <row r="579">
      <c r="E579" s="42"/>
    </row>
    <row r="580">
      <c r="E580" s="42"/>
    </row>
    <row r="581">
      <c r="E581" s="42"/>
    </row>
    <row r="582">
      <c r="E582" s="42"/>
    </row>
    <row r="583">
      <c r="E583" s="42"/>
    </row>
    <row r="584">
      <c r="E584" s="42"/>
    </row>
    <row r="585">
      <c r="E585" s="42"/>
    </row>
    <row r="586">
      <c r="E586" s="42"/>
    </row>
    <row r="587">
      <c r="E587" s="42"/>
    </row>
    <row r="588">
      <c r="E588" s="42"/>
    </row>
    <row r="589">
      <c r="E589" s="42"/>
    </row>
    <row r="590">
      <c r="E590" s="42"/>
    </row>
    <row r="591">
      <c r="E591" s="42"/>
    </row>
    <row r="592">
      <c r="E592" s="42"/>
    </row>
    <row r="593">
      <c r="E593" s="42"/>
    </row>
    <row r="594">
      <c r="E594" s="42"/>
    </row>
    <row r="595">
      <c r="E595" s="42"/>
    </row>
    <row r="596">
      <c r="E596" s="42"/>
    </row>
    <row r="597">
      <c r="E597" s="42"/>
    </row>
    <row r="598">
      <c r="E598" s="42"/>
    </row>
    <row r="599">
      <c r="E599" s="42"/>
    </row>
    <row r="600">
      <c r="E600" s="42"/>
    </row>
    <row r="601">
      <c r="E601" s="42"/>
    </row>
    <row r="602">
      <c r="E602" s="42"/>
    </row>
    <row r="603">
      <c r="E603" s="42"/>
    </row>
    <row r="604">
      <c r="E604" s="42"/>
    </row>
    <row r="605">
      <c r="E605" s="42"/>
    </row>
    <row r="606">
      <c r="E606" s="42"/>
    </row>
    <row r="607">
      <c r="E607" s="42"/>
    </row>
    <row r="608">
      <c r="E608" s="42"/>
    </row>
    <row r="609">
      <c r="E609" s="42"/>
    </row>
    <row r="610">
      <c r="E610" s="42"/>
    </row>
    <row r="611">
      <c r="E611" s="42"/>
    </row>
    <row r="612">
      <c r="E612" s="42"/>
    </row>
    <row r="613">
      <c r="E613" s="42"/>
    </row>
    <row r="614">
      <c r="E614" s="42"/>
    </row>
    <row r="615">
      <c r="E615" s="42"/>
    </row>
    <row r="616">
      <c r="E616" s="42"/>
    </row>
    <row r="617">
      <c r="E617" s="42"/>
    </row>
    <row r="618">
      <c r="E618" s="42"/>
    </row>
    <row r="619">
      <c r="E619" s="42"/>
    </row>
    <row r="620">
      <c r="E620" s="42"/>
    </row>
    <row r="621">
      <c r="E621" s="42"/>
    </row>
    <row r="622">
      <c r="E622" s="42"/>
    </row>
    <row r="623">
      <c r="E623" s="42"/>
    </row>
    <row r="624">
      <c r="E624" s="42"/>
    </row>
    <row r="625">
      <c r="E625" s="42"/>
    </row>
    <row r="626">
      <c r="E626" s="42"/>
    </row>
    <row r="627">
      <c r="E627" s="42"/>
    </row>
    <row r="628">
      <c r="E628" s="42"/>
    </row>
    <row r="629">
      <c r="E629" s="42"/>
    </row>
    <row r="630">
      <c r="E630" s="42"/>
    </row>
    <row r="631">
      <c r="E631" s="42"/>
    </row>
    <row r="632">
      <c r="E632" s="42"/>
    </row>
    <row r="633">
      <c r="E633" s="42"/>
    </row>
    <row r="634">
      <c r="E634" s="42"/>
    </row>
    <row r="635">
      <c r="E635" s="42"/>
    </row>
    <row r="636">
      <c r="E636" s="42"/>
    </row>
    <row r="637">
      <c r="E637" s="42"/>
    </row>
    <row r="638">
      <c r="E638" s="42"/>
    </row>
    <row r="639">
      <c r="E639" s="42"/>
    </row>
    <row r="640">
      <c r="E640" s="42"/>
    </row>
    <row r="641">
      <c r="E641" s="42"/>
    </row>
    <row r="642">
      <c r="E642" s="42"/>
    </row>
    <row r="643">
      <c r="E643" s="42"/>
    </row>
    <row r="644">
      <c r="E644" s="42"/>
    </row>
    <row r="645">
      <c r="E645" s="42"/>
    </row>
    <row r="646">
      <c r="E646" s="42"/>
    </row>
    <row r="647">
      <c r="E647" s="42"/>
    </row>
    <row r="648">
      <c r="E648" s="42"/>
    </row>
    <row r="649">
      <c r="E649" s="42"/>
    </row>
    <row r="650">
      <c r="E650" s="42"/>
    </row>
    <row r="651">
      <c r="E651" s="42"/>
    </row>
    <row r="652">
      <c r="E652" s="42"/>
    </row>
    <row r="653">
      <c r="E653" s="42"/>
    </row>
    <row r="654">
      <c r="E654" s="42"/>
    </row>
    <row r="655">
      <c r="E655" s="42"/>
    </row>
    <row r="656">
      <c r="E656" s="42"/>
    </row>
    <row r="657">
      <c r="E657" s="42"/>
    </row>
    <row r="658">
      <c r="E658" s="42"/>
    </row>
    <row r="659">
      <c r="E659" s="42"/>
    </row>
    <row r="660">
      <c r="E660" s="42"/>
    </row>
    <row r="661">
      <c r="E661" s="42"/>
    </row>
    <row r="662">
      <c r="E662" s="42"/>
    </row>
    <row r="663">
      <c r="E663" s="42"/>
    </row>
    <row r="664">
      <c r="E664" s="42"/>
    </row>
    <row r="665">
      <c r="E665" s="42"/>
    </row>
    <row r="666">
      <c r="E666" s="42"/>
    </row>
    <row r="667">
      <c r="E667" s="42"/>
    </row>
    <row r="668">
      <c r="E668" s="42"/>
    </row>
    <row r="669">
      <c r="E669" s="42"/>
    </row>
    <row r="670">
      <c r="E670" s="42"/>
    </row>
    <row r="671">
      <c r="E671" s="42"/>
    </row>
    <row r="672">
      <c r="E672" s="42"/>
    </row>
    <row r="673">
      <c r="E673" s="42"/>
    </row>
    <row r="674">
      <c r="E674" s="42"/>
    </row>
    <row r="675">
      <c r="E675" s="42"/>
    </row>
    <row r="676">
      <c r="E676" s="42"/>
    </row>
    <row r="677">
      <c r="E677" s="42"/>
    </row>
    <row r="678">
      <c r="E678" s="42"/>
    </row>
    <row r="679">
      <c r="E679" s="42"/>
    </row>
    <row r="680">
      <c r="E680" s="42"/>
    </row>
    <row r="681">
      <c r="E681" s="42"/>
    </row>
    <row r="682">
      <c r="E682" s="42"/>
    </row>
    <row r="683">
      <c r="E683" s="42"/>
    </row>
    <row r="684">
      <c r="E684" s="42"/>
    </row>
    <row r="685">
      <c r="E685" s="42"/>
    </row>
    <row r="686">
      <c r="E686" s="42"/>
    </row>
    <row r="687">
      <c r="E687" s="42"/>
    </row>
    <row r="688">
      <c r="E688" s="42"/>
    </row>
    <row r="689">
      <c r="E689" s="42"/>
    </row>
    <row r="690">
      <c r="E690" s="42"/>
    </row>
    <row r="691">
      <c r="E691" s="42"/>
    </row>
    <row r="692">
      <c r="E692" s="42"/>
    </row>
    <row r="693">
      <c r="E693" s="42"/>
    </row>
    <row r="694">
      <c r="E694" s="42"/>
    </row>
    <row r="695">
      <c r="E695" s="42"/>
    </row>
    <row r="696">
      <c r="E696" s="42"/>
    </row>
    <row r="697">
      <c r="E697" s="42"/>
    </row>
    <row r="698">
      <c r="E698" s="42"/>
    </row>
    <row r="699">
      <c r="E699" s="42"/>
    </row>
    <row r="700">
      <c r="E700" s="42"/>
    </row>
    <row r="701">
      <c r="E701" s="42"/>
    </row>
    <row r="702">
      <c r="E702" s="42"/>
    </row>
    <row r="703">
      <c r="E703" s="42"/>
    </row>
    <row r="704">
      <c r="E704" s="42"/>
    </row>
    <row r="705">
      <c r="E705" s="42"/>
    </row>
    <row r="706">
      <c r="E706" s="42"/>
    </row>
    <row r="707">
      <c r="E707" s="42"/>
    </row>
    <row r="708">
      <c r="E708" s="42"/>
    </row>
    <row r="709">
      <c r="E709" s="42"/>
    </row>
    <row r="710">
      <c r="E710" s="42"/>
    </row>
    <row r="711">
      <c r="E711" s="42"/>
    </row>
    <row r="712">
      <c r="E712" s="42"/>
    </row>
    <row r="713">
      <c r="E713" s="42"/>
    </row>
    <row r="714">
      <c r="E714" s="42"/>
    </row>
    <row r="715">
      <c r="E715" s="42"/>
    </row>
    <row r="716">
      <c r="E716" s="42"/>
    </row>
    <row r="717">
      <c r="E717" s="42"/>
    </row>
    <row r="718">
      <c r="E718" s="42"/>
    </row>
    <row r="719">
      <c r="E719" s="42"/>
    </row>
    <row r="720">
      <c r="E720" s="42"/>
    </row>
    <row r="721">
      <c r="E721" s="42"/>
    </row>
    <row r="722">
      <c r="E722" s="42"/>
    </row>
    <row r="723">
      <c r="E723" s="42"/>
    </row>
    <row r="724">
      <c r="E724" s="42"/>
    </row>
    <row r="725">
      <c r="E725" s="42"/>
    </row>
    <row r="726">
      <c r="E726" s="42"/>
    </row>
    <row r="727">
      <c r="E727" s="42"/>
    </row>
    <row r="728">
      <c r="E728" s="42"/>
    </row>
    <row r="729">
      <c r="E729" s="42"/>
    </row>
    <row r="730">
      <c r="E730" s="42"/>
    </row>
    <row r="731">
      <c r="E731" s="42"/>
    </row>
    <row r="732">
      <c r="E732" s="42"/>
    </row>
    <row r="733">
      <c r="E733" s="42"/>
    </row>
    <row r="734">
      <c r="E734" s="42"/>
    </row>
    <row r="735">
      <c r="E735" s="42"/>
    </row>
    <row r="736">
      <c r="E736" s="42"/>
    </row>
    <row r="737">
      <c r="E737" s="42"/>
    </row>
    <row r="738">
      <c r="E738" s="42"/>
    </row>
    <row r="739">
      <c r="E739" s="42"/>
    </row>
    <row r="740">
      <c r="E740" s="42"/>
    </row>
    <row r="741">
      <c r="E741" s="42"/>
    </row>
    <row r="742">
      <c r="E742" s="42"/>
    </row>
    <row r="743">
      <c r="E743" s="42"/>
    </row>
    <row r="744">
      <c r="E744" s="42"/>
    </row>
    <row r="745">
      <c r="E745" s="42"/>
    </row>
    <row r="746">
      <c r="E746" s="42"/>
    </row>
    <row r="747">
      <c r="E747" s="42"/>
    </row>
    <row r="748">
      <c r="E748" s="42"/>
    </row>
    <row r="749">
      <c r="E749" s="42"/>
    </row>
    <row r="750">
      <c r="E750" s="42"/>
    </row>
    <row r="751">
      <c r="E751" s="42"/>
    </row>
    <row r="752">
      <c r="E752" s="42"/>
    </row>
    <row r="753">
      <c r="E753" s="42"/>
    </row>
    <row r="754">
      <c r="E754" s="42"/>
    </row>
    <row r="755">
      <c r="E755" s="42"/>
    </row>
    <row r="756">
      <c r="E756" s="42"/>
    </row>
    <row r="757">
      <c r="E757" s="42"/>
    </row>
    <row r="758">
      <c r="E758" s="42"/>
    </row>
    <row r="759">
      <c r="E759" s="42"/>
    </row>
    <row r="760">
      <c r="E760" s="42"/>
    </row>
    <row r="761">
      <c r="E761" s="42"/>
    </row>
    <row r="762">
      <c r="E762" s="42"/>
    </row>
    <row r="763">
      <c r="E763" s="42"/>
    </row>
    <row r="764">
      <c r="E764" s="42"/>
    </row>
    <row r="765">
      <c r="E765" s="42"/>
    </row>
    <row r="766">
      <c r="E766" s="42"/>
    </row>
    <row r="767">
      <c r="E767" s="42"/>
    </row>
    <row r="768">
      <c r="E768" s="42"/>
    </row>
    <row r="769">
      <c r="E769" s="42"/>
    </row>
    <row r="770">
      <c r="E770" s="42"/>
    </row>
    <row r="771">
      <c r="E771" s="42"/>
    </row>
    <row r="772">
      <c r="E772" s="42"/>
    </row>
    <row r="773">
      <c r="E773" s="42"/>
    </row>
    <row r="774">
      <c r="E774" s="42"/>
    </row>
    <row r="775">
      <c r="E775" s="42"/>
    </row>
    <row r="776">
      <c r="E776" s="42"/>
    </row>
    <row r="777">
      <c r="E777" s="42"/>
    </row>
    <row r="778">
      <c r="E778" s="42"/>
    </row>
    <row r="779">
      <c r="E779" s="42"/>
    </row>
    <row r="780">
      <c r="E780" s="42"/>
    </row>
    <row r="781">
      <c r="E781" s="42"/>
    </row>
    <row r="782">
      <c r="E782" s="42"/>
    </row>
    <row r="783">
      <c r="E783" s="42"/>
    </row>
    <row r="784">
      <c r="E784" s="42"/>
    </row>
    <row r="785">
      <c r="E785" s="42"/>
    </row>
    <row r="786">
      <c r="E786" s="42"/>
    </row>
    <row r="787">
      <c r="E787" s="42"/>
    </row>
    <row r="788">
      <c r="E788" s="42"/>
    </row>
    <row r="789">
      <c r="E789" s="42"/>
    </row>
    <row r="790">
      <c r="E790" s="42"/>
    </row>
    <row r="791">
      <c r="E791" s="42"/>
    </row>
    <row r="792">
      <c r="E792" s="42"/>
    </row>
    <row r="793">
      <c r="E793" s="42"/>
    </row>
    <row r="794">
      <c r="E794" s="42"/>
    </row>
    <row r="795">
      <c r="E795" s="42"/>
    </row>
    <row r="796">
      <c r="E796" s="42"/>
    </row>
    <row r="797">
      <c r="E797" s="42"/>
    </row>
    <row r="798">
      <c r="E798" s="42"/>
    </row>
    <row r="799">
      <c r="E799" s="42"/>
    </row>
    <row r="800">
      <c r="E800" s="42"/>
    </row>
    <row r="801">
      <c r="E801" s="42"/>
    </row>
    <row r="802">
      <c r="E802" s="42"/>
    </row>
    <row r="803">
      <c r="E803" s="42"/>
    </row>
    <row r="804">
      <c r="E804" s="42"/>
    </row>
    <row r="805">
      <c r="E805" s="42"/>
    </row>
    <row r="806">
      <c r="E806" s="42"/>
    </row>
    <row r="807">
      <c r="E807" s="42"/>
    </row>
    <row r="808">
      <c r="E808" s="42"/>
    </row>
    <row r="809">
      <c r="E809" s="42"/>
    </row>
    <row r="810">
      <c r="E810" s="42"/>
    </row>
    <row r="811">
      <c r="E811" s="42"/>
    </row>
    <row r="812">
      <c r="E812" s="42"/>
    </row>
    <row r="813">
      <c r="E813" s="42"/>
    </row>
    <row r="814">
      <c r="E814" s="42"/>
    </row>
    <row r="815">
      <c r="E815" s="42"/>
    </row>
    <row r="816">
      <c r="E816" s="42"/>
    </row>
    <row r="817">
      <c r="E817" s="42"/>
    </row>
    <row r="818">
      <c r="E818" s="42"/>
    </row>
    <row r="819">
      <c r="E819" s="42"/>
    </row>
    <row r="820">
      <c r="E820" s="42"/>
    </row>
    <row r="821">
      <c r="E821" s="42"/>
    </row>
    <row r="822">
      <c r="E822" s="42"/>
    </row>
    <row r="823">
      <c r="E823" s="42"/>
    </row>
    <row r="824">
      <c r="E824" s="42"/>
    </row>
    <row r="825">
      <c r="E825" s="42"/>
    </row>
    <row r="826">
      <c r="E826" s="42"/>
    </row>
    <row r="827">
      <c r="E827" s="42"/>
    </row>
    <row r="828">
      <c r="E828" s="42"/>
    </row>
    <row r="829">
      <c r="E829" s="42"/>
    </row>
    <row r="830">
      <c r="E830" s="42"/>
    </row>
    <row r="831">
      <c r="E831" s="42"/>
    </row>
    <row r="832">
      <c r="E832" s="42"/>
    </row>
    <row r="833">
      <c r="E833" s="42"/>
    </row>
    <row r="834">
      <c r="E834" s="42"/>
    </row>
    <row r="835">
      <c r="E835" s="42"/>
    </row>
    <row r="836">
      <c r="E836" s="42"/>
    </row>
    <row r="837">
      <c r="E837" s="42"/>
    </row>
    <row r="838">
      <c r="E838" s="42"/>
    </row>
    <row r="839">
      <c r="E839" s="42"/>
    </row>
    <row r="840">
      <c r="E840" s="42"/>
    </row>
    <row r="841">
      <c r="E841" s="42"/>
    </row>
    <row r="842">
      <c r="E842" s="42"/>
    </row>
    <row r="843">
      <c r="E843" s="42"/>
    </row>
    <row r="844">
      <c r="E844" s="42"/>
    </row>
    <row r="845">
      <c r="E845" s="42"/>
    </row>
    <row r="846">
      <c r="E846" s="42"/>
    </row>
    <row r="847">
      <c r="E847" s="42"/>
    </row>
    <row r="848">
      <c r="E848" s="42"/>
    </row>
    <row r="849">
      <c r="E849" s="42"/>
    </row>
    <row r="850">
      <c r="E850" s="42"/>
    </row>
    <row r="851">
      <c r="E851" s="42"/>
    </row>
    <row r="852">
      <c r="E852" s="42"/>
    </row>
    <row r="853">
      <c r="E853" s="42"/>
    </row>
    <row r="854">
      <c r="E854" s="42"/>
    </row>
    <row r="855">
      <c r="E855" s="42"/>
    </row>
    <row r="856">
      <c r="E856" s="42"/>
    </row>
    <row r="857">
      <c r="E857" s="42"/>
    </row>
    <row r="858">
      <c r="E858" s="42"/>
    </row>
    <row r="859">
      <c r="E859" s="42"/>
    </row>
    <row r="860">
      <c r="E860" s="42"/>
    </row>
    <row r="861">
      <c r="E861" s="42"/>
    </row>
    <row r="862">
      <c r="E862" s="42"/>
    </row>
    <row r="863">
      <c r="E863" s="42"/>
    </row>
    <row r="864">
      <c r="E864" s="42"/>
    </row>
    <row r="865">
      <c r="E865" s="42"/>
    </row>
    <row r="866">
      <c r="E866" s="42"/>
    </row>
    <row r="867">
      <c r="E867" s="42"/>
    </row>
    <row r="868">
      <c r="E868" s="42"/>
    </row>
    <row r="869">
      <c r="E869" s="42"/>
    </row>
    <row r="870">
      <c r="E870" s="42"/>
    </row>
    <row r="871">
      <c r="E871" s="42"/>
    </row>
    <row r="872">
      <c r="E872" s="42"/>
    </row>
    <row r="873">
      <c r="E873" s="42"/>
    </row>
    <row r="874">
      <c r="E874" s="42"/>
    </row>
    <row r="875">
      <c r="E875" s="42"/>
    </row>
    <row r="876">
      <c r="E876" s="42"/>
    </row>
    <row r="877">
      <c r="E877" s="42"/>
    </row>
    <row r="878">
      <c r="E878" s="42"/>
    </row>
    <row r="879">
      <c r="E879" s="42"/>
    </row>
    <row r="880">
      <c r="E880" s="42"/>
    </row>
    <row r="881">
      <c r="E881" s="42"/>
    </row>
    <row r="882">
      <c r="E882" s="42"/>
    </row>
    <row r="883">
      <c r="E883" s="42"/>
    </row>
    <row r="884">
      <c r="E884" s="42"/>
    </row>
    <row r="885">
      <c r="E885" s="42"/>
    </row>
    <row r="886">
      <c r="E886" s="42"/>
    </row>
    <row r="887">
      <c r="E887" s="42"/>
    </row>
    <row r="888">
      <c r="E888" s="42"/>
    </row>
    <row r="889">
      <c r="E889" s="42"/>
    </row>
    <row r="890">
      <c r="E890" s="42"/>
    </row>
    <row r="891">
      <c r="E891" s="42"/>
    </row>
    <row r="892">
      <c r="E892" s="42"/>
    </row>
    <row r="893">
      <c r="E893" s="42"/>
    </row>
    <row r="894">
      <c r="E894" s="42"/>
    </row>
    <row r="895">
      <c r="E895" s="42"/>
    </row>
    <row r="896">
      <c r="E896" s="42"/>
    </row>
    <row r="897">
      <c r="E897" s="42"/>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5.0"/>
    <col customWidth="1" min="2" max="2" width="14.71"/>
    <col customWidth="1" min="3" max="3" width="5.71"/>
    <col customWidth="1" min="4" max="4" width="10.86"/>
    <col customWidth="1" min="5" max="5" width="19.86"/>
    <col customWidth="1" min="6" max="9" width="8.71"/>
    <col customWidth="1" min="10" max="10" width="40.0"/>
    <col customWidth="1" min="11" max="11" width="27.43"/>
    <col customWidth="1" min="12" max="12" width="7.14"/>
    <col customWidth="1" min="13" max="13" width="5.71"/>
    <col customWidth="1" min="14" max="15" width="8.71"/>
  </cols>
  <sheetData>
    <row r="1" ht="14.25" customHeight="1">
      <c r="A1" s="39" t="s">
        <v>1282</v>
      </c>
      <c r="B1" s="39" t="s">
        <v>1283</v>
      </c>
      <c r="C1" s="40" t="s">
        <v>1314</v>
      </c>
      <c r="D1" s="40" t="s">
        <v>1315</v>
      </c>
      <c r="E1" s="41" t="s">
        <v>1</v>
      </c>
      <c r="F1" s="40" t="s">
        <v>4</v>
      </c>
      <c r="G1" s="40" t="s">
        <v>5</v>
      </c>
      <c r="H1" s="40" t="s">
        <v>6</v>
      </c>
      <c r="I1" s="40" t="s">
        <v>1316</v>
      </c>
      <c r="J1" s="40" t="s">
        <v>1317</v>
      </c>
      <c r="L1" s="40" t="s">
        <v>1314</v>
      </c>
      <c r="M1" s="41" t="s">
        <v>1</v>
      </c>
      <c r="N1" s="41" t="s">
        <v>1</v>
      </c>
      <c r="O1" s="39"/>
    </row>
    <row r="2" ht="14.25" customHeight="1">
      <c r="A2" s="44" t="str">
        <f t="shared" ref="A2:B2" si="1">#REF!</f>
        <v>#REF!</v>
      </c>
      <c r="B2" s="44" t="str">
        <f t="shared" si="1"/>
        <v>#REF!</v>
      </c>
      <c r="C2" s="43" t="str">
        <f>IFERROR(VLOOKUP(B2, Routes!B:G, 6, FALSE), "")</f>
        <v/>
      </c>
      <c r="D2" s="43" t="str">
        <f>VLOOKUP(A2, Orders!A:O, 5, FALSE)</f>
        <v>#REF!</v>
      </c>
      <c r="E2" s="29" t="str">
        <f>VLOOKUP(A2, Orders!A:O, 4, FALSE)</f>
        <v>#REF!</v>
      </c>
      <c r="F2" s="44" t="str">
        <f>IFERROR(VLOOKUP(B2, DataBase!A:O, 5, FALSE), "No Order Found")</f>
        <v>No Order Found</v>
      </c>
      <c r="G2" s="44" t="str">
        <f>IFERROR(VLOOKUP(B2, DataBase!A:O, 6, FALSE), "No Order Found")</f>
        <v>No Order Found</v>
      </c>
      <c r="H2" s="44" t="str">
        <f>IFERROR(VLOOKUP(B2, DataBase!A:O, 7, FALSE), "No Order Found")</f>
        <v>No Order Found</v>
      </c>
      <c r="I2" s="43" t="s">
        <v>1318</v>
      </c>
      <c r="J2" s="44" t="str">
        <f>IFERROR(VLOOKUP(A2, Orders!A:O, 3, FALSE), "No Order Found")</f>
        <v>No Order Found</v>
      </c>
      <c r="K2" s="12" t="str">
        <f t="shared" ref="K2:K50" si="3">"🧾 رقم " &amp; C2 &amp; CHAR(10) &amp; "📞 " &amp; D2 &amp; CHAR(10) &amp; "👤 " &amp; E2 &amp; CHAR(10) &amp; "📍 " &amp; F2 &amp; " - " &amp; G2 &amp; CHAR(10) &amp; "🗺️ " &amp; H2 &amp; CHAR(10) &amp; "🛒 الاوردر 👇" &amp; CHAR(10) &amp; J2 &amp; CHAR(10) &amp; "---------------------------"</f>
        <v>#REF!</v>
      </c>
      <c r="L2" s="43">
        <v>12.0</v>
      </c>
      <c r="M2" s="29" t="s">
        <v>518</v>
      </c>
      <c r="N2" s="29" t="s">
        <v>191</v>
      </c>
    </row>
    <row r="3" ht="14.25" customHeight="1">
      <c r="A3" s="44" t="str">
        <f t="shared" ref="A3:B3" si="2">#REF!</f>
        <v>#REF!</v>
      </c>
      <c r="B3" s="44" t="str">
        <f t="shared" si="2"/>
        <v>#REF!</v>
      </c>
      <c r="C3" s="43" t="str">
        <f>IFERROR(VLOOKUP(B3, Routes!B:G, 6, FALSE), "")</f>
        <v/>
      </c>
      <c r="D3" s="43" t="str">
        <f>VLOOKUP(A3, Orders!A:O, 5, FALSE)</f>
        <v>#REF!</v>
      </c>
      <c r="E3" s="29" t="str">
        <f>VLOOKUP(A3, Orders!A:O, 4, FALSE)</f>
        <v>#REF!</v>
      </c>
      <c r="F3" s="44" t="str">
        <f>IFERROR(VLOOKUP(B3, DataBase!A:O, 5, FALSE), "No Order Found")</f>
        <v>No Order Found</v>
      </c>
      <c r="G3" s="44" t="str">
        <f>IFERROR(VLOOKUP(B3, DataBase!A:O, 6, FALSE), "No Order Found")</f>
        <v>No Order Found</v>
      </c>
      <c r="H3" s="44" t="str">
        <f>IFERROR(VLOOKUP(B3, DataBase!A:O, 7, FALSE), "No Order Found")</f>
        <v>No Order Found</v>
      </c>
      <c r="I3" s="43" t="s">
        <v>1318</v>
      </c>
      <c r="J3" s="44" t="str">
        <f>IFERROR(VLOOKUP(A3, Orders!A:O, 3, FALSE), "No Order Found")</f>
        <v>No Order Found</v>
      </c>
      <c r="K3" s="12" t="str">
        <f t="shared" si="3"/>
        <v>#REF!</v>
      </c>
      <c r="L3" s="43">
        <v>6.0</v>
      </c>
      <c r="M3" s="29" t="s">
        <v>34</v>
      </c>
      <c r="N3" s="29" t="s">
        <v>113</v>
      </c>
    </row>
    <row r="4" ht="14.25" customHeight="1">
      <c r="A4" s="44" t="str">
        <f t="shared" ref="A4:B4" si="4">#REF!</f>
        <v>#REF!</v>
      </c>
      <c r="B4" s="44" t="str">
        <f t="shared" si="4"/>
        <v>#REF!</v>
      </c>
      <c r="C4" s="43" t="str">
        <f>IFERROR(VLOOKUP(B4, Routes!B:G, 6, FALSE), "")</f>
        <v/>
      </c>
      <c r="D4" s="43" t="str">
        <f>VLOOKUP(A4, Orders!A:O, 5, FALSE)</f>
        <v>#REF!</v>
      </c>
      <c r="E4" s="29" t="str">
        <f>VLOOKUP(A4, Orders!A:O, 4, FALSE)</f>
        <v>#REF!</v>
      </c>
      <c r="F4" s="44" t="str">
        <f>IFERROR(VLOOKUP(B4, DataBase!A:O, 5, FALSE), "No Order Found")</f>
        <v>No Order Found</v>
      </c>
      <c r="G4" s="44" t="str">
        <f>IFERROR(VLOOKUP(B4, DataBase!A:O, 6, FALSE), "No Order Found")</f>
        <v>No Order Found</v>
      </c>
      <c r="H4" s="44" t="str">
        <f>IFERROR(VLOOKUP(B4, DataBase!A:O, 7, FALSE), "No Order Found")</f>
        <v>No Order Found</v>
      </c>
      <c r="I4" s="43" t="s">
        <v>1318</v>
      </c>
      <c r="J4" s="44" t="str">
        <f>IFERROR(VLOOKUP(A4, Orders!A:O, 3, FALSE), "No Order Found")</f>
        <v>No Order Found</v>
      </c>
      <c r="K4" s="12" t="str">
        <f t="shared" si="3"/>
        <v>#REF!</v>
      </c>
      <c r="L4" s="43">
        <v>15.0</v>
      </c>
      <c r="M4" s="29" t="s">
        <v>407</v>
      </c>
      <c r="N4" s="29" t="s">
        <v>298</v>
      </c>
    </row>
    <row r="5" ht="14.25" customHeight="1">
      <c r="A5" s="44" t="str">
        <f t="shared" ref="A5:B5" si="5">#REF!</f>
        <v>#REF!</v>
      </c>
      <c r="B5" s="44" t="str">
        <f t="shared" si="5"/>
        <v>#REF!</v>
      </c>
      <c r="C5" s="43" t="str">
        <f>IFERROR(VLOOKUP(B5, Routes!B:G, 6, FALSE), "")</f>
        <v/>
      </c>
      <c r="D5" s="43" t="str">
        <f>VLOOKUP(A5, Orders!A:O, 5, FALSE)</f>
        <v>#REF!</v>
      </c>
      <c r="E5" s="29" t="str">
        <f>VLOOKUP(A5, Orders!A:O, 4, FALSE)</f>
        <v>#REF!</v>
      </c>
      <c r="F5" s="44" t="str">
        <f>IFERROR(VLOOKUP(B5, DataBase!A:O, 5, FALSE), "No Order Found")</f>
        <v>No Order Found</v>
      </c>
      <c r="G5" s="44" t="str">
        <f>IFERROR(VLOOKUP(B5, DataBase!A:O, 6, FALSE), "No Order Found")</f>
        <v>No Order Found</v>
      </c>
      <c r="H5" s="44" t="str">
        <f>IFERROR(VLOOKUP(B5, DataBase!A:O, 7, FALSE), "No Order Found")</f>
        <v>No Order Found</v>
      </c>
      <c r="I5" s="43" t="s">
        <v>1318</v>
      </c>
      <c r="J5" s="44" t="str">
        <f>IFERROR(VLOOKUP(A5, Orders!A:O, 3, FALSE), "No Order Found")</f>
        <v>No Order Found</v>
      </c>
      <c r="K5" s="12" t="str">
        <f t="shared" si="3"/>
        <v>#REF!</v>
      </c>
      <c r="L5" s="43">
        <v>16.0</v>
      </c>
      <c r="M5" s="29" t="s">
        <v>1223</v>
      </c>
      <c r="N5" s="29" t="s">
        <v>1097</v>
      </c>
    </row>
    <row r="6" ht="14.25" customHeight="1">
      <c r="A6" s="44" t="str">
        <f t="shared" ref="A6:B6" si="6">#REF!</f>
        <v>#REF!</v>
      </c>
      <c r="B6" s="44" t="str">
        <f t="shared" si="6"/>
        <v>#REF!</v>
      </c>
      <c r="C6" s="43" t="str">
        <f>IFERROR(VLOOKUP(B6, Routes!B:G, 6, FALSE), "")</f>
        <v/>
      </c>
      <c r="D6" s="43" t="str">
        <f>VLOOKUP(A6, Orders!A:O, 5, FALSE)</f>
        <v>#REF!</v>
      </c>
      <c r="E6" s="29" t="str">
        <f>VLOOKUP(A6, Orders!A:O, 4, FALSE)</f>
        <v>#REF!</v>
      </c>
      <c r="F6" s="44" t="str">
        <f>IFERROR(VLOOKUP(B6, DataBase!A:O, 5, FALSE), "No Order Found")</f>
        <v>No Order Found</v>
      </c>
      <c r="G6" s="44" t="str">
        <f>IFERROR(VLOOKUP(B6, DataBase!A:O, 6, FALSE), "No Order Found")</f>
        <v>No Order Found</v>
      </c>
      <c r="H6" s="44" t="str">
        <f>IFERROR(VLOOKUP(B6, DataBase!A:O, 7, FALSE), "No Order Found")</f>
        <v>No Order Found</v>
      </c>
      <c r="I6" s="43" t="s">
        <v>1318</v>
      </c>
      <c r="J6" s="44" t="str">
        <f>IFERROR(VLOOKUP(A6, Orders!A:O, 3, FALSE), "No Order Found")</f>
        <v>No Order Found</v>
      </c>
      <c r="K6" s="12" t="str">
        <f t="shared" si="3"/>
        <v>#REF!</v>
      </c>
      <c r="L6" s="43">
        <v>5.0</v>
      </c>
      <c r="M6" s="29" t="s">
        <v>687</v>
      </c>
      <c r="N6" s="29" t="s">
        <v>242</v>
      </c>
    </row>
    <row r="7" ht="14.25" customHeight="1">
      <c r="A7" s="44" t="str">
        <f t="shared" ref="A7:B7" si="7">#REF!</f>
        <v>#REF!</v>
      </c>
      <c r="B7" s="44" t="str">
        <f t="shared" si="7"/>
        <v>#REF!</v>
      </c>
      <c r="C7" s="43" t="str">
        <f>IFERROR(VLOOKUP(B7, Routes!B:G, 6, FALSE), "")</f>
        <v/>
      </c>
      <c r="D7" s="43" t="str">
        <f>VLOOKUP(A7, Orders!A:O, 5, FALSE)</f>
        <v>#REF!</v>
      </c>
      <c r="E7" s="29" t="str">
        <f>VLOOKUP(A7, Orders!A:O, 4, FALSE)</f>
        <v>#REF!</v>
      </c>
      <c r="F7" s="44" t="str">
        <f>IFERROR(VLOOKUP(B7, DataBase!A:O, 5, FALSE), "No Order Found")</f>
        <v>No Order Found</v>
      </c>
      <c r="G7" s="44" t="str">
        <f>IFERROR(VLOOKUP(B7, DataBase!A:O, 6, FALSE), "No Order Found")</f>
        <v>No Order Found</v>
      </c>
      <c r="H7" s="44" t="str">
        <f>IFERROR(VLOOKUP(B7, DataBase!A:O, 7, FALSE), "No Order Found")</f>
        <v>No Order Found</v>
      </c>
      <c r="I7" s="43" t="s">
        <v>1318</v>
      </c>
      <c r="J7" s="44" t="str">
        <f>IFERROR(VLOOKUP(A7, Orders!A:O, 3, FALSE), "No Order Found")</f>
        <v>No Order Found</v>
      </c>
      <c r="K7" s="12" t="str">
        <f t="shared" si="3"/>
        <v>#REF!</v>
      </c>
      <c r="L7" s="43">
        <v>20.0</v>
      </c>
      <c r="M7" s="29" t="s">
        <v>160</v>
      </c>
      <c r="N7" s="29" t="s">
        <v>247</v>
      </c>
    </row>
    <row r="8" ht="14.25" customHeight="1">
      <c r="A8" s="44" t="str">
        <f t="shared" ref="A8:B8" si="8">#REF!</f>
        <v>#REF!</v>
      </c>
      <c r="B8" s="44" t="str">
        <f t="shared" si="8"/>
        <v>#REF!</v>
      </c>
      <c r="C8" s="43" t="str">
        <f>IFERROR(VLOOKUP(B8, Routes!B:G, 6, FALSE), "")</f>
        <v/>
      </c>
      <c r="D8" s="43" t="str">
        <f>VLOOKUP(A8, Orders!A:O, 5, FALSE)</f>
        <v>#REF!</v>
      </c>
      <c r="E8" s="29" t="str">
        <f>VLOOKUP(A8, Orders!A:O, 4, FALSE)</f>
        <v>#REF!</v>
      </c>
      <c r="F8" s="44" t="str">
        <f>IFERROR(VLOOKUP(B8, DataBase!A:O, 5, FALSE), "No Order Found")</f>
        <v>No Order Found</v>
      </c>
      <c r="G8" s="44" t="str">
        <f>IFERROR(VLOOKUP(B8, DataBase!A:O, 6, FALSE), "No Order Found")</f>
        <v>No Order Found</v>
      </c>
      <c r="H8" s="44" t="str">
        <f>IFERROR(VLOOKUP(B8, DataBase!A:O, 7, FALSE), "No Order Found")</f>
        <v>No Order Found</v>
      </c>
      <c r="I8" s="43" t="s">
        <v>1318</v>
      </c>
      <c r="J8" s="44" t="str">
        <f>IFERROR(VLOOKUP(A8, Orders!A:O, 3, FALSE), "No Order Found")</f>
        <v>No Order Found</v>
      </c>
      <c r="K8" s="12" t="str">
        <f t="shared" si="3"/>
        <v>#REF!</v>
      </c>
      <c r="L8" s="43">
        <v>4.0</v>
      </c>
      <c r="M8" s="29" t="s">
        <v>744</v>
      </c>
      <c r="N8" s="29" t="s">
        <v>84</v>
      </c>
    </row>
    <row r="9" ht="14.25" customHeight="1">
      <c r="A9" s="44" t="str">
        <f t="shared" ref="A9:B9" si="9">#REF!</f>
        <v>#REF!</v>
      </c>
      <c r="B9" s="44" t="str">
        <f t="shared" si="9"/>
        <v>#REF!</v>
      </c>
      <c r="C9" s="43" t="str">
        <f>IFERROR(VLOOKUP(B9, Routes!B:G, 6, FALSE), "")</f>
        <v/>
      </c>
      <c r="D9" s="43" t="str">
        <f>VLOOKUP(A9, Orders!A:O, 5, FALSE)</f>
        <v>#REF!</v>
      </c>
      <c r="E9" s="29" t="str">
        <f>VLOOKUP(A9, Orders!A:O, 4, FALSE)</f>
        <v>#REF!</v>
      </c>
      <c r="F9" s="44" t="str">
        <f>IFERROR(VLOOKUP(B9, DataBase!A:O, 5, FALSE), "No Order Found")</f>
        <v>No Order Found</v>
      </c>
      <c r="G9" s="44" t="str">
        <f>IFERROR(VLOOKUP(B9, DataBase!A:O, 6, FALSE), "No Order Found")</f>
        <v>No Order Found</v>
      </c>
      <c r="H9" s="44" t="str">
        <f>IFERROR(VLOOKUP(B9, DataBase!A:O, 7, FALSE), "No Order Found")</f>
        <v>No Order Found</v>
      </c>
      <c r="I9" s="43" t="s">
        <v>1318</v>
      </c>
      <c r="J9" s="44" t="str">
        <f>IFERROR(VLOOKUP(A9, Orders!A:O, 3, FALSE), "No Order Found")</f>
        <v>No Order Found</v>
      </c>
      <c r="K9" s="12" t="str">
        <f t="shared" si="3"/>
        <v>#REF!</v>
      </c>
      <c r="L9" s="43">
        <v>14.0</v>
      </c>
      <c r="M9" s="29" t="s">
        <v>837</v>
      </c>
      <c r="N9" s="29" t="s">
        <v>782</v>
      </c>
    </row>
    <row r="10" ht="14.25" customHeight="1">
      <c r="A10" s="44" t="str">
        <f t="shared" ref="A10:B10" si="10">#REF!</f>
        <v>#REF!</v>
      </c>
      <c r="B10" s="44" t="str">
        <f t="shared" si="10"/>
        <v>#REF!</v>
      </c>
      <c r="C10" s="43" t="str">
        <f>IFERROR(VLOOKUP(B10, Routes!B:G, 6, FALSE), "")</f>
        <v/>
      </c>
      <c r="D10" s="43" t="str">
        <f>VLOOKUP(A10, Orders!A:O, 5, FALSE)</f>
        <v>#REF!</v>
      </c>
      <c r="E10" s="29" t="str">
        <f>VLOOKUP(A10, Orders!A:O, 4, FALSE)</f>
        <v>#REF!</v>
      </c>
      <c r="F10" s="44" t="str">
        <f>IFERROR(VLOOKUP(B10, DataBase!A:O, 5, FALSE), "No Order Found")</f>
        <v>No Order Found</v>
      </c>
      <c r="G10" s="44" t="str">
        <f>IFERROR(VLOOKUP(B10, DataBase!A:O, 6, FALSE), "No Order Found")</f>
        <v>No Order Found</v>
      </c>
      <c r="H10" s="44" t="str">
        <f>IFERROR(VLOOKUP(B10, DataBase!A:O, 7, FALSE), "No Order Found")</f>
        <v>No Order Found</v>
      </c>
      <c r="I10" s="43" t="s">
        <v>1318</v>
      </c>
      <c r="J10" s="44" t="str">
        <f>IFERROR(VLOOKUP(A10, Orders!A:O, 3, FALSE), "No Order Found")</f>
        <v>No Order Found</v>
      </c>
      <c r="K10" s="12" t="str">
        <f t="shared" si="3"/>
        <v>#REF!</v>
      </c>
      <c r="L10" s="43">
        <v>3.0</v>
      </c>
      <c r="M10" s="29" t="s">
        <v>72</v>
      </c>
      <c r="N10" s="42"/>
    </row>
    <row r="11" ht="14.25" customHeight="1">
      <c r="A11" s="44" t="str">
        <f t="shared" ref="A11:B11" si="11">#REF!</f>
        <v>#REF!</v>
      </c>
      <c r="B11" s="44" t="str">
        <f t="shared" si="11"/>
        <v>#REF!</v>
      </c>
      <c r="C11" s="43" t="str">
        <f>IFERROR(VLOOKUP(B11, Routes!B:G, 6, FALSE), "")</f>
        <v/>
      </c>
      <c r="D11" s="43" t="str">
        <f>VLOOKUP(A11, Orders!A:O, 5, FALSE)</f>
        <v>#REF!</v>
      </c>
      <c r="E11" s="29" t="str">
        <f>VLOOKUP(A11, Orders!A:O, 4, FALSE)</f>
        <v>#REF!</v>
      </c>
      <c r="F11" s="44" t="str">
        <f>IFERROR(VLOOKUP(B11, DataBase!A:O, 5, FALSE), "No Order Found")</f>
        <v>No Order Found</v>
      </c>
      <c r="G11" s="44" t="str">
        <f>IFERROR(VLOOKUP(B11, DataBase!A:O, 6, FALSE), "No Order Found")</f>
        <v>No Order Found</v>
      </c>
      <c r="H11" s="44" t="str">
        <f>IFERROR(VLOOKUP(B11, DataBase!A:O, 7, FALSE), "No Order Found")</f>
        <v>No Order Found</v>
      </c>
      <c r="I11" s="43" t="s">
        <v>1318</v>
      </c>
      <c r="J11" s="44" t="str">
        <f>IFERROR(VLOOKUP(A11, Orders!A:O, 3, FALSE), "No Order Found")</f>
        <v>No Order Found</v>
      </c>
      <c r="K11" s="12" t="str">
        <f t="shared" si="3"/>
        <v>#REF!</v>
      </c>
      <c r="L11" s="43">
        <v>11.0</v>
      </c>
      <c r="M11" s="29" t="s">
        <v>1023</v>
      </c>
      <c r="N11" s="29" t="s">
        <v>632</v>
      </c>
    </row>
    <row r="12" ht="14.25" customHeight="1">
      <c r="A12" s="44" t="str">
        <f t="shared" ref="A12:B12" si="12">#REF!</f>
        <v>#REF!</v>
      </c>
      <c r="B12" s="44" t="str">
        <f t="shared" si="12"/>
        <v>#REF!</v>
      </c>
      <c r="C12" s="43" t="str">
        <f>IFERROR(VLOOKUP(B12, Routes!B:G, 6, FALSE), "")</f>
        <v/>
      </c>
      <c r="D12" s="43" t="str">
        <f>VLOOKUP(A12, Orders!A:O, 5, FALSE)</f>
        <v>#REF!</v>
      </c>
      <c r="E12" s="29" t="str">
        <f>VLOOKUP(A12, Orders!A:O, 4, FALSE)</f>
        <v>#REF!</v>
      </c>
      <c r="F12" s="44" t="str">
        <f>IFERROR(VLOOKUP(B12, DataBase!A:O, 5, FALSE), "No Order Found")</f>
        <v>No Order Found</v>
      </c>
      <c r="G12" s="44" t="str">
        <f>IFERROR(VLOOKUP(B12, DataBase!A:O, 6, FALSE), "No Order Found")</f>
        <v>No Order Found</v>
      </c>
      <c r="H12" s="44" t="str">
        <f>IFERROR(VLOOKUP(B12, DataBase!A:O, 7, FALSE), "No Order Found")</f>
        <v>No Order Found</v>
      </c>
      <c r="I12" s="43" t="s">
        <v>1318</v>
      </c>
      <c r="J12" s="44" t="str">
        <f>IFERROR(VLOOKUP(A12, Orders!A:O, 3, FALSE), "No Order Found")</f>
        <v>No Order Found</v>
      </c>
      <c r="K12" s="12" t="str">
        <f t="shared" si="3"/>
        <v>#REF!</v>
      </c>
      <c r="L12" s="43">
        <v>7.0</v>
      </c>
      <c r="M12" s="29" t="s">
        <v>654</v>
      </c>
      <c r="N12" s="42"/>
    </row>
    <row r="13" ht="14.25" customHeight="1">
      <c r="A13" s="44" t="str">
        <f t="shared" ref="A13:B13" si="13">#REF!</f>
        <v>#REF!</v>
      </c>
      <c r="B13" s="44" t="str">
        <f t="shared" si="13"/>
        <v>#REF!</v>
      </c>
      <c r="C13" s="43" t="str">
        <f>IFERROR(VLOOKUP(B13, Routes!B:G, 6, FALSE), "")</f>
        <v/>
      </c>
      <c r="D13" s="43" t="str">
        <f>VLOOKUP(A13, Orders!A:O, 5, FALSE)</f>
        <v>#REF!</v>
      </c>
      <c r="E13" s="29" t="str">
        <f>VLOOKUP(A13, Orders!A:O, 4, FALSE)</f>
        <v>#REF!</v>
      </c>
      <c r="F13" s="44" t="str">
        <f>IFERROR(VLOOKUP(B13, DataBase!A:O, 5, FALSE), "No Order Found")</f>
        <v>No Order Found</v>
      </c>
      <c r="G13" s="44" t="str">
        <f>IFERROR(VLOOKUP(B13, DataBase!A:O, 6, FALSE), "No Order Found")</f>
        <v>No Order Found</v>
      </c>
      <c r="H13" s="44" t="str">
        <f>IFERROR(VLOOKUP(B13, DataBase!A:O, 7, FALSE), "No Order Found")</f>
        <v>No Order Found</v>
      </c>
      <c r="I13" s="43" t="s">
        <v>1318</v>
      </c>
      <c r="J13" s="44" t="str">
        <f>IFERROR(VLOOKUP(A13, Orders!A:O, 3, FALSE), "No Order Found")</f>
        <v>No Order Found</v>
      </c>
      <c r="K13" s="12" t="str">
        <f t="shared" si="3"/>
        <v>#REF!</v>
      </c>
      <c r="L13" s="43">
        <v>21.0</v>
      </c>
      <c r="M13" s="29" t="s">
        <v>642</v>
      </c>
      <c r="N13" s="29" t="s">
        <v>776</v>
      </c>
    </row>
    <row r="14" ht="14.25" customHeight="1">
      <c r="A14" s="44" t="str">
        <f t="shared" ref="A14:B14" si="14">#REF!</f>
        <v>#REF!</v>
      </c>
      <c r="B14" s="44" t="str">
        <f t="shared" si="14"/>
        <v>#REF!</v>
      </c>
      <c r="C14" s="43" t="str">
        <f>IFERROR(VLOOKUP(B14, Routes!B:G, 6, FALSE), "")</f>
        <v/>
      </c>
      <c r="D14" s="43" t="str">
        <f>VLOOKUP(A14, Orders!A:O, 5, FALSE)</f>
        <v>#REF!</v>
      </c>
      <c r="E14" s="29" t="str">
        <f>VLOOKUP(A14, Orders!A:O, 4, FALSE)</f>
        <v>#REF!</v>
      </c>
      <c r="F14" s="44" t="str">
        <f>IFERROR(VLOOKUP(B14, DataBase!A:O, 5, FALSE), "No Order Found")</f>
        <v>No Order Found</v>
      </c>
      <c r="G14" s="44" t="str">
        <f>IFERROR(VLOOKUP(B14, DataBase!A:O, 6, FALSE), "No Order Found")</f>
        <v>No Order Found</v>
      </c>
      <c r="H14" s="44" t="str">
        <f>IFERROR(VLOOKUP(B14, DataBase!A:O, 7, FALSE), "No Order Found")</f>
        <v>No Order Found</v>
      </c>
      <c r="I14" s="43" t="s">
        <v>1318</v>
      </c>
      <c r="J14" s="44" t="str">
        <f>IFERROR(VLOOKUP(A14, Orders!A:O, 3, FALSE), "No Order Found")</f>
        <v>No Order Found</v>
      </c>
      <c r="K14" s="12" t="str">
        <f t="shared" si="3"/>
        <v>#REF!</v>
      </c>
      <c r="L14" s="43">
        <v>10.0</v>
      </c>
      <c r="M14" s="29" t="s">
        <v>281</v>
      </c>
      <c r="N14" s="29" t="s">
        <v>59</v>
      </c>
    </row>
    <row r="15" ht="14.25" customHeight="1">
      <c r="A15" s="44" t="str">
        <f t="shared" ref="A15:B15" si="15">#REF!</f>
        <v>#REF!</v>
      </c>
      <c r="B15" s="44" t="str">
        <f t="shared" si="15"/>
        <v>#REF!</v>
      </c>
      <c r="C15" s="43" t="str">
        <f>IFERROR(VLOOKUP(B15, Routes!B:G, 6, FALSE), "")</f>
        <v/>
      </c>
      <c r="D15" s="43" t="str">
        <f>VLOOKUP(A15, Orders!A:O, 5, FALSE)</f>
        <v>#REF!</v>
      </c>
      <c r="E15" s="29" t="str">
        <f>VLOOKUP(A15, Orders!A:O, 4, FALSE)</f>
        <v>#REF!</v>
      </c>
      <c r="F15" s="44" t="str">
        <f>IFERROR(VLOOKUP(B15, DataBase!A:O, 5, FALSE), "No Order Found")</f>
        <v>No Order Found</v>
      </c>
      <c r="G15" s="44" t="str">
        <f>IFERROR(VLOOKUP(B15, DataBase!A:O, 6, FALSE), "No Order Found")</f>
        <v>No Order Found</v>
      </c>
      <c r="H15" s="44" t="str">
        <f>IFERROR(VLOOKUP(B15, DataBase!A:O, 7, FALSE), "No Order Found")</f>
        <v>No Order Found</v>
      </c>
      <c r="I15" s="43" t="s">
        <v>1318</v>
      </c>
      <c r="J15" s="44" t="str">
        <f>IFERROR(VLOOKUP(A15, Orders!A:O, 3, FALSE), "No Order Found")</f>
        <v>No Order Found</v>
      </c>
      <c r="K15" s="12" t="str">
        <f t="shared" si="3"/>
        <v>#REF!</v>
      </c>
      <c r="L15" s="43">
        <v>19.0</v>
      </c>
      <c r="M15" s="29" t="s">
        <v>102</v>
      </c>
      <c r="N15" s="42"/>
    </row>
    <row r="16" ht="14.25" customHeight="1">
      <c r="A16" s="44" t="str">
        <f t="shared" ref="A16:B16" si="16">#REF!</f>
        <v>#REF!</v>
      </c>
      <c r="B16" s="44" t="str">
        <f t="shared" si="16"/>
        <v>#REF!</v>
      </c>
      <c r="C16" s="43" t="str">
        <f>IFERROR(VLOOKUP(B16, Routes!B:G, 6, FALSE), "")</f>
        <v/>
      </c>
      <c r="D16" s="43" t="str">
        <f>VLOOKUP(A16, Orders!A:O, 5, FALSE)</f>
        <v>#REF!</v>
      </c>
      <c r="E16" s="29" t="str">
        <f>VLOOKUP(A16, Orders!A:O, 4, FALSE)</f>
        <v>#REF!</v>
      </c>
      <c r="F16" s="44" t="str">
        <f>IFERROR(VLOOKUP(B16, DataBase!A:O, 5, FALSE), "No Order Found")</f>
        <v>No Order Found</v>
      </c>
      <c r="G16" s="44" t="str">
        <f>IFERROR(VLOOKUP(B16, DataBase!A:O, 6, FALSE), "No Order Found")</f>
        <v>No Order Found</v>
      </c>
      <c r="H16" s="44" t="str">
        <f>IFERROR(VLOOKUP(B16, DataBase!A:O, 7, FALSE), "No Order Found")</f>
        <v>No Order Found</v>
      </c>
      <c r="I16" s="43" t="s">
        <v>1318</v>
      </c>
      <c r="J16" s="44" t="str">
        <f>IFERROR(VLOOKUP(A16, Orders!A:O, 3, FALSE), "No Order Found")</f>
        <v>No Order Found</v>
      </c>
      <c r="K16" s="12" t="str">
        <f t="shared" si="3"/>
        <v>#REF!</v>
      </c>
      <c r="L16" s="43">
        <v>9.0</v>
      </c>
      <c r="M16" s="29" t="s">
        <v>16</v>
      </c>
      <c r="N16" s="42"/>
    </row>
    <row r="17" ht="14.25" customHeight="1">
      <c r="A17" s="44" t="str">
        <f t="shared" ref="A17:B17" si="17">#REF!</f>
        <v>#REF!</v>
      </c>
      <c r="B17" s="44" t="str">
        <f t="shared" si="17"/>
        <v>#REF!</v>
      </c>
      <c r="C17" s="43" t="str">
        <f>IFERROR(VLOOKUP(B17, Routes!B:G, 6, FALSE), "")</f>
        <v/>
      </c>
      <c r="D17" s="43" t="str">
        <f>VLOOKUP(A17, Orders!A:O, 5, FALSE)</f>
        <v>#REF!</v>
      </c>
      <c r="E17" s="29" t="str">
        <f>VLOOKUP(A17, Orders!A:O, 4, FALSE)</f>
        <v>#REF!</v>
      </c>
      <c r="F17" s="44" t="str">
        <f>IFERROR(VLOOKUP(B17, DataBase!A:O, 5, FALSE), "No Order Found")</f>
        <v>No Order Found</v>
      </c>
      <c r="G17" s="44" t="str">
        <f>IFERROR(VLOOKUP(B17, DataBase!A:O, 6, FALSE), "No Order Found")</f>
        <v>No Order Found</v>
      </c>
      <c r="H17" s="44" t="str">
        <f>IFERROR(VLOOKUP(B17, DataBase!A:O, 7, FALSE), "No Order Found")</f>
        <v>No Order Found</v>
      </c>
      <c r="I17" s="43" t="s">
        <v>1318</v>
      </c>
      <c r="J17" s="44" t="str">
        <f>IFERROR(VLOOKUP(A17, Orders!A:O, 3, FALSE), "No Order Found")</f>
        <v>No Order Found</v>
      </c>
      <c r="K17" s="12" t="str">
        <f t="shared" si="3"/>
        <v>#REF!</v>
      </c>
      <c r="L17" s="43">
        <v>8.0</v>
      </c>
      <c r="M17" s="29" t="s">
        <v>65</v>
      </c>
      <c r="N17" s="29" t="s">
        <v>558</v>
      </c>
    </row>
    <row r="18" ht="14.25" customHeight="1">
      <c r="A18" s="44" t="str">
        <f t="shared" ref="A18:B18" si="18">#REF!</f>
        <v>#REF!</v>
      </c>
      <c r="B18" s="44" t="str">
        <f t="shared" si="18"/>
        <v>#REF!</v>
      </c>
      <c r="C18" s="43" t="str">
        <f>IFERROR(VLOOKUP(B18, Routes!B:G, 6, FALSE), "")</f>
        <v/>
      </c>
      <c r="D18" s="43" t="str">
        <f>VLOOKUP(A18, Orders!A:O, 5, FALSE)</f>
        <v>#REF!</v>
      </c>
      <c r="E18" s="29" t="str">
        <f>VLOOKUP(A18, Orders!A:O, 4, FALSE)</f>
        <v>#REF!</v>
      </c>
      <c r="F18" s="44" t="str">
        <f>IFERROR(VLOOKUP(B18, DataBase!A:O, 5, FALSE), "No Order Found")</f>
        <v>No Order Found</v>
      </c>
      <c r="G18" s="44" t="str">
        <f>IFERROR(VLOOKUP(B18, DataBase!A:O, 6, FALSE), "No Order Found")</f>
        <v>No Order Found</v>
      </c>
      <c r="H18" s="44" t="str">
        <f>IFERROR(VLOOKUP(B18, DataBase!A:O, 7, FALSE), "No Order Found")</f>
        <v>No Order Found</v>
      </c>
      <c r="I18" s="43" t="s">
        <v>1318</v>
      </c>
      <c r="J18" s="44" t="str">
        <f>IFERROR(VLOOKUP(A18, Orders!A:O, 3, FALSE), "No Order Found")</f>
        <v>No Order Found</v>
      </c>
      <c r="K18" s="12" t="str">
        <f t="shared" si="3"/>
        <v>#REF!</v>
      </c>
      <c r="L18" s="43">
        <v>17.0</v>
      </c>
      <c r="M18" s="29" t="s">
        <v>1235</v>
      </c>
      <c r="N18" s="42"/>
    </row>
    <row r="19" ht="14.25" customHeight="1">
      <c r="A19" s="44" t="str">
        <f t="shared" ref="A19:B19" si="19">#REF!</f>
        <v>#REF!</v>
      </c>
      <c r="B19" s="44" t="str">
        <f t="shared" si="19"/>
        <v>#REF!</v>
      </c>
      <c r="C19" s="43" t="str">
        <f>IFERROR(VLOOKUP(B19, Routes!B:G, 6, FALSE), "")</f>
        <v/>
      </c>
      <c r="D19" s="43" t="str">
        <f>VLOOKUP(A19, Orders!A:O, 5, FALSE)</f>
        <v>#REF!</v>
      </c>
      <c r="E19" s="29" t="str">
        <f>VLOOKUP(A19, Orders!A:O, 4, FALSE)</f>
        <v>#REF!</v>
      </c>
      <c r="F19" s="44" t="str">
        <f>IFERROR(VLOOKUP(B19, DataBase!A:O, 5, FALSE), "No Order Found")</f>
        <v>No Order Found</v>
      </c>
      <c r="G19" s="44" t="str">
        <f>IFERROR(VLOOKUP(B19, DataBase!A:O, 6, FALSE), "No Order Found")</f>
        <v>No Order Found</v>
      </c>
      <c r="H19" s="44" t="str">
        <f>IFERROR(VLOOKUP(B19, DataBase!A:O, 7, FALSE), "No Order Found")</f>
        <v>No Order Found</v>
      </c>
      <c r="I19" s="43" t="s">
        <v>1318</v>
      </c>
      <c r="J19" s="44" t="str">
        <f>IFERROR(VLOOKUP(A19, Orders!A:O, 3, FALSE), "No Order Found")</f>
        <v>No Order Found</v>
      </c>
      <c r="K19" s="12" t="str">
        <f t="shared" si="3"/>
        <v>#REF!</v>
      </c>
      <c r="L19" s="43">
        <v>22.0</v>
      </c>
      <c r="M19" s="29" t="s">
        <v>397</v>
      </c>
      <c r="N19" s="29" t="s">
        <v>546</v>
      </c>
    </row>
    <row r="20" ht="14.25" customHeight="1">
      <c r="A20" s="44" t="str">
        <f t="shared" ref="A20:B20" si="20">#REF!</f>
        <v>#REF!</v>
      </c>
      <c r="B20" s="44" t="str">
        <f t="shared" si="20"/>
        <v>#REF!</v>
      </c>
      <c r="C20" s="43" t="str">
        <f>IFERROR(VLOOKUP(B20, Routes!B:G, 6, FALSE), "")</f>
        <v/>
      </c>
      <c r="D20" s="43" t="str">
        <f>VLOOKUP(A20, Orders!A:O, 5, FALSE)</f>
        <v>#REF!</v>
      </c>
      <c r="E20" s="29" t="str">
        <f>VLOOKUP(A20, Orders!A:O, 4, FALSE)</f>
        <v>#REF!</v>
      </c>
      <c r="F20" s="44" t="str">
        <f>IFERROR(VLOOKUP(B20, DataBase!A:O, 5, FALSE), "No Order Found")</f>
        <v>No Order Found</v>
      </c>
      <c r="G20" s="44" t="str">
        <f>IFERROR(VLOOKUP(B20, DataBase!A:O, 6, FALSE), "No Order Found")</f>
        <v>No Order Found</v>
      </c>
      <c r="H20" s="44" t="str">
        <f>IFERROR(VLOOKUP(B20, DataBase!A:O, 7, FALSE), "No Order Found")</f>
        <v>No Order Found</v>
      </c>
      <c r="I20" s="43" t="s">
        <v>1318</v>
      </c>
      <c r="J20" s="44" t="str">
        <f>IFERROR(VLOOKUP(A20, Orders!A:O, 3, FALSE), "No Order Found")</f>
        <v>No Order Found</v>
      </c>
      <c r="K20" s="12" t="str">
        <f t="shared" si="3"/>
        <v>#REF!</v>
      </c>
      <c r="L20" s="43">
        <v>13.0</v>
      </c>
      <c r="M20" s="29" t="s">
        <v>1059</v>
      </c>
      <c r="N20" s="29" t="s">
        <v>912</v>
      </c>
    </row>
    <row r="21" ht="14.25" customHeight="1">
      <c r="A21" s="44" t="str">
        <f t="shared" ref="A21:B21" si="21">#REF!</f>
        <v>#REF!</v>
      </c>
      <c r="B21" s="44" t="str">
        <f t="shared" si="21"/>
        <v>#REF!</v>
      </c>
      <c r="C21" s="43" t="str">
        <f>IFERROR(VLOOKUP(B21, Routes!B:G, 6, FALSE), "")</f>
        <v/>
      </c>
      <c r="D21" s="43" t="str">
        <f>VLOOKUP(A21, Orders!A:O, 5, FALSE)</f>
        <v>#REF!</v>
      </c>
      <c r="E21" s="29" t="str">
        <f>VLOOKUP(A21, Orders!A:O, 4, FALSE)</f>
        <v>#REF!</v>
      </c>
      <c r="F21" s="44" t="str">
        <f>IFERROR(VLOOKUP(B21, DataBase!A:O, 5, FALSE), "No Order Found")</f>
        <v>No Order Found</v>
      </c>
      <c r="G21" s="44" t="str">
        <f>IFERROR(VLOOKUP(B21, DataBase!A:O, 6, FALSE), "No Order Found")</f>
        <v>No Order Found</v>
      </c>
      <c r="H21" s="44" t="str">
        <f>IFERROR(VLOOKUP(B21, DataBase!A:O, 7, FALSE), "No Order Found")</f>
        <v>No Order Found</v>
      </c>
      <c r="I21" s="43" t="s">
        <v>1318</v>
      </c>
      <c r="J21" s="44" t="str">
        <f>IFERROR(VLOOKUP(A21, Orders!A:O, 3, FALSE), "No Order Found")</f>
        <v>No Order Found</v>
      </c>
      <c r="K21" s="12" t="str">
        <f t="shared" si="3"/>
        <v>#REF!</v>
      </c>
      <c r="L21" s="43">
        <v>18.0</v>
      </c>
      <c r="M21" s="29" t="s">
        <v>131</v>
      </c>
      <c r="N21" s="29" t="e">
        <v>#N/A</v>
      </c>
    </row>
    <row r="22" ht="14.25" customHeight="1">
      <c r="A22" s="44" t="str">
        <f t="shared" ref="A22:B22" si="22">#REF!</f>
        <v>#REF!</v>
      </c>
      <c r="B22" s="44" t="str">
        <f t="shared" si="22"/>
        <v>#REF!</v>
      </c>
      <c r="C22" s="43" t="str">
        <f>IFERROR(VLOOKUP(B22, Routes!B:G, 6, FALSE), "")</f>
        <v/>
      </c>
      <c r="D22" s="43" t="str">
        <f>VLOOKUP(A22, Orders!A:O, 5, FALSE)</f>
        <v>#REF!</v>
      </c>
      <c r="E22" s="29" t="str">
        <f>VLOOKUP(A22, Orders!A:O, 4, FALSE)</f>
        <v>#REF!</v>
      </c>
      <c r="F22" s="44" t="str">
        <f>IFERROR(VLOOKUP(B22, DataBase!A:O, 5, FALSE), "No Order Found")</f>
        <v>No Order Found</v>
      </c>
      <c r="G22" s="44" t="str">
        <f>IFERROR(VLOOKUP(B22, DataBase!A:O, 6, FALSE), "No Order Found")</f>
        <v>No Order Found</v>
      </c>
      <c r="H22" s="44" t="str">
        <f>IFERROR(VLOOKUP(B22, DataBase!A:O, 7, FALSE), "No Order Found")</f>
        <v>No Order Found</v>
      </c>
      <c r="I22" s="43" t="s">
        <v>1318</v>
      </c>
      <c r="J22" s="44" t="str">
        <f>IFERROR(VLOOKUP(A22, Orders!A:O, 3, FALSE), "No Order Found")</f>
        <v>No Order Found</v>
      </c>
      <c r="K22" s="12" t="str">
        <f t="shared" si="3"/>
        <v>#REF!</v>
      </c>
      <c r="L22" s="43">
        <v>23.0</v>
      </c>
      <c r="M22" s="29" t="s">
        <v>1229</v>
      </c>
      <c r="N22" s="29" t="e">
        <v>#N/A</v>
      </c>
    </row>
    <row r="23" ht="14.25" customHeight="1">
      <c r="A23" s="44" t="str">
        <f t="shared" ref="A23:B23" si="23">#REF!</f>
        <v>#REF!</v>
      </c>
      <c r="B23" s="44" t="str">
        <f t="shared" si="23"/>
        <v>#REF!</v>
      </c>
      <c r="C23" s="43" t="str">
        <f>IFERROR(VLOOKUP(B23, Routes!B:G, 6, FALSE), "")</f>
        <v/>
      </c>
      <c r="D23" s="43" t="str">
        <f>VLOOKUP(A23, Orders!A:O, 5, FALSE)</f>
        <v>#REF!</v>
      </c>
      <c r="E23" s="29" t="str">
        <f>VLOOKUP(A23, Orders!A:O, 4, FALSE)</f>
        <v>#REF!</v>
      </c>
      <c r="F23" s="44" t="str">
        <f>IFERROR(VLOOKUP(B23, DataBase!A:O, 5, FALSE), "No Order Found")</f>
        <v>No Order Found</v>
      </c>
      <c r="G23" s="44" t="str">
        <f>IFERROR(VLOOKUP(B23, DataBase!A:O, 6, FALSE), "No Order Found")</f>
        <v>No Order Found</v>
      </c>
      <c r="H23" s="44" t="str">
        <f>IFERROR(VLOOKUP(B23, DataBase!A:O, 7, FALSE), "No Order Found")</f>
        <v>No Order Found</v>
      </c>
      <c r="I23" s="43" t="s">
        <v>1318</v>
      </c>
      <c r="J23" s="44" t="str">
        <f>IFERROR(VLOOKUP(A23, Orders!A:O, 3, FALSE), "No Order Found")</f>
        <v>No Order Found</v>
      </c>
      <c r="K23" s="12" t="str">
        <f t="shared" si="3"/>
        <v>#REF!</v>
      </c>
      <c r="L23" s="43">
        <v>2.0</v>
      </c>
      <c r="M23" s="29" t="s">
        <v>1205</v>
      </c>
      <c r="N23" s="29" t="s">
        <v>968</v>
      </c>
    </row>
    <row r="24" ht="14.25" customHeight="1">
      <c r="A24" s="44" t="str">
        <f t="shared" ref="A24:B24" si="24">#REF!</f>
        <v>#REF!</v>
      </c>
      <c r="B24" s="44" t="str">
        <f t="shared" si="24"/>
        <v>#REF!</v>
      </c>
      <c r="C24" s="43" t="str">
        <f>IFERROR(VLOOKUP(B24, Routes!B:G, 6, FALSE), "")</f>
        <v/>
      </c>
      <c r="D24" s="43" t="str">
        <f>VLOOKUP(A24, Orders!A:O, 5, FALSE)</f>
        <v>#REF!</v>
      </c>
      <c r="E24" s="29" t="str">
        <f>VLOOKUP(A24, Orders!A:O, 4, FALSE)</f>
        <v>#REF!</v>
      </c>
      <c r="F24" s="44" t="str">
        <f>IFERROR(VLOOKUP(B24, DataBase!A:O, 5, FALSE), "No Order Found")</f>
        <v>No Order Found</v>
      </c>
      <c r="G24" s="44" t="str">
        <f>IFERROR(VLOOKUP(B24, DataBase!A:O, 6, FALSE), "No Order Found")</f>
        <v>No Order Found</v>
      </c>
      <c r="H24" s="44" t="str">
        <f>IFERROR(VLOOKUP(B24, DataBase!A:O, 7, FALSE), "No Order Found")</f>
        <v>No Order Found</v>
      </c>
      <c r="I24" s="43" t="s">
        <v>1318</v>
      </c>
      <c r="J24" s="44" t="str">
        <f>IFERROR(VLOOKUP(A24, Orders!A:O, 3, FALSE), "No Order Found")</f>
        <v>No Order Found</v>
      </c>
      <c r="K24" s="12" t="str">
        <f t="shared" si="3"/>
        <v>#REF!</v>
      </c>
      <c r="L24" s="43">
        <v>1.0</v>
      </c>
      <c r="M24" s="29" t="s">
        <v>191</v>
      </c>
      <c r="N24" s="29" t="e">
        <v>#N/A</v>
      </c>
    </row>
    <row r="25" ht="14.25" customHeight="1">
      <c r="A25" s="44" t="str">
        <f t="shared" ref="A25:B25" si="25">#REF!</f>
        <v>#REF!</v>
      </c>
      <c r="B25" s="44" t="str">
        <f t="shared" si="25"/>
        <v>#REF!</v>
      </c>
      <c r="C25" s="43" t="str">
        <f>IFERROR(VLOOKUP(B25, Routes!B:G, 6, FALSE), "")</f>
        <v/>
      </c>
      <c r="D25" s="43" t="str">
        <f>VLOOKUP(A25, Orders!A:O, 5, FALSE)</f>
        <v>#REF!</v>
      </c>
      <c r="E25" s="29" t="str">
        <f>VLOOKUP(A25, Orders!A:O, 4, FALSE)</f>
        <v>#REF!</v>
      </c>
      <c r="F25" s="44" t="str">
        <f>IFERROR(VLOOKUP(B25, DataBase!A:O, 5, FALSE), "No Order Found")</f>
        <v>No Order Found</v>
      </c>
      <c r="G25" s="44" t="str">
        <f>IFERROR(VLOOKUP(B25, DataBase!A:O, 6, FALSE), "No Order Found")</f>
        <v>No Order Found</v>
      </c>
      <c r="H25" s="44" t="str">
        <f>IFERROR(VLOOKUP(B25, DataBase!A:O, 7, FALSE), "No Order Found")</f>
        <v>No Order Found</v>
      </c>
      <c r="I25" s="43" t="s">
        <v>1318</v>
      </c>
      <c r="J25" s="44" t="str">
        <f>IFERROR(VLOOKUP(A25, Orders!A:O, 3, FALSE), "No Order Found")</f>
        <v>No Order Found</v>
      </c>
      <c r="K25" s="12" t="str">
        <f t="shared" si="3"/>
        <v>#REF!</v>
      </c>
      <c r="L25" s="43">
        <v>24.0</v>
      </c>
      <c r="M25" s="29" t="s">
        <v>298</v>
      </c>
      <c r="N25" s="29" t="s">
        <v>770</v>
      </c>
    </row>
    <row r="26" ht="14.25" customHeight="1">
      <c r="A26" s="44" t="str">
        <f t="shared" ref="A26:B26" si="26">#REF!</f>
        <v>#REF!</v>
      </c>
      <c r="B26" s="44" t="str">
        <f t="shared" si="26"/>
        <v>#REF!</v>
      </c>
      <c r="C26" s="43" t="str">
        <f>IFERROR(VLOOKUP(B26, Routes!B:G, 6, FALSE), "")</f>
        <v/>
      </c>
      <c r="D26" s="43" t="str">
        <f>VLOOKUP(A26, Orders!A:O, 5, FALSE)</f>
        <v>#REF!</v>
      </c>
      <c r="E26" s="29" t="str">
        <f>VLOOKUP(A26, Orders!A:O, 4, FALSE)</f>
        <v>#REF!</v>
      </c>
      <c r="F26" s="44" t="str">
        <f>IFERROR(VLOOKUP(B26, DataBase!A:O, 5, FALSE), "No Order Found")</f>
        <v>No Order Found</v>
      </c>
      <c r="G26" s="44" t="str">
        <f>IFERROR(VLOOKUP(B26, DataBase!A:O, 6, FALSE), "No Order Found")</f>
        <v>No Order Found</v>
      </c>
      <c r="H26" s="44" t="str">
        <f>IFERROR(VLOOKUP(B26, DataBase!A:O, 7, FALSE), "No Order Found")</f>
        <v>No Order Found</v>
      </c>
      <c r="I26" s="43" t="s">
        <v>1318</v>
      </c>
      <c r="J26" s="44" t="str">
        <f>IFERROR(VLOOKUP(A26, Orders!A:O, 3, FALSE), "No Order Found")</f>
        <v>No Order Found</v>
      </c>
      <c r="K26" s="12" t="str">
        <f t="shared" si="3"/>
        <v>#REF!</v>
      </c>
      <c r="L26" s="43">
        <v>25.0</v>
      </c>
      <c r="M26" s="29" t="s">
        <v>765</v>
      </c>
      <c r="N26" s="29" t="s">
        <v>901</v>
      </c>
    </row>
    <row r="27" ht="14.25" customHeight="1">
      <c r="A27" s="44" t="str">
        <f t="shared" ref="A27:B27" si="27">#REF!</f>
        <v>#REF!</v>
      </c>
      <c r="B27" s="44" t="str">
        <f t="shared" si="27"/>
        <v>#REF!</v>
      </c>
      <c r="C27" s="43" t="str">
        <f>IFERROR(VLOOKUP(B27, Routes!B:G, 6, FALSE), "")</f>
        <v/>
      </c>
      <c r="D27" s="43" t="str">
        <f>VLOOKUP(A27, Orders!A:O, 5, FALSE)</f>
        <v>#REF!</v>
      </c>
      <c r="E27" s="29" t="str">
        <f>VLOOKUP(A27, Orders!A:O, 4, FALSE)</f>
        <v>#REF!</v>
      </c>
      <c r="F27" s="44" t="str">
        <f>IFERROR(VLOOKUP(B27, DataBase!A:O, 5, FALSE), "No Order Found")</f>
        <v>No Order Found</v>
      </c>
      <c r="G27" s="44" t="str">
        <f>IFERROR(VLOOKUP(B27, DataBase!A:O, 6, FALSE), "No Order Found")</f>
        <v>No Order Found</v>
      </c>
      <c r="H27" s="44" t="str">
        <f>IFERROR(VLOOKUP(B27, DataBase!A:O, 7, FALSE), "No Order Found")</f>
        <v>No Order Found</v>
      </c>
      <c r="I27" s="43" t="s">
        <v>1318</v>
      </c>
      <c r="J27" s="44" t="str">
        <f>IFERROR(VLOOKUP(A27, Orders!A:O, 3, FALSE), "No Order Found")</f>
        <v>No Order Found</v>
      </c>
      <c r="K27" s="12" t="str">
        <f t="shared" si="3"/>
        <v>#REF!</v>
      </c>
      <c r="L27" s="43">
        <v>26.0</v>
      </c>
      <c r="M27" s="29" t="s">
        <v>978</v>
      </c>
      <c r="N27" s="29" t="s">
        <v>287</v>
      </c>
    </row>
    <row r="28" ht="14.25" customHeight="1">
      <c r="A28" s="44" t="str">
        <f t="shared" ref="A28:B28" si="28">#REF!</f>
        <v>#REF!</v>
      </c>
      <c r="B28" s="44" t="str">
        <f t="shared" si="28"/>
        <v>#REF!</v>
      </c>
      <c r="C28" s="43" t="str">
        <f>IFERROR(VLOOKUP(B28, Routes!B:G, 6, FALSE), "")</f>
        <v/>
      </c>
      <c r="D28" s="43" t="str">
        <f>VLOOKUP(A28, Orders!A:O, 5, FALSE)</f>
        <v>#REF!</v>
      </c>
      <c r="E28" s="29" t="str">
        <f>VLOOKUP(A28, Orders!A:O, 4, FALSE)</f>
        <v>#REF!</v>
      </c>
      <c r="F28" s="44" t="str">
        <f>IFERROR(VLOOKUP(B28, DataBase!A:O, 5, FALSE), "No Order Found")</f>
        <v>No Order Found</v>
      </c>
      <c r="G28" s="44" t="str">
        <f>IFERROR(VLOOKUP(B28, DataBase!A:O, 6, FALSE), "No Order Found")</f>
        <v>No Order Found</v>
      </c>
      <c r="H28" s="44" t="str">
        <f>IFERROR(VLOOKUP(B28, DataBase!A:O, 7, FALSE), "No Order Found")</f>
        <v>No Order Found</v>
      </c>
      <c r="I28" s="43" t="s">
        <v>1318</v>
      </c>
      <c r="J28" s="44" t="str">
        <f>IFERROR(VLOOKUP(A28, Orders!A:O, 3, FALSE), "No Order Found")</f>
        <v>No Order Found</v>
      </c>
      <c r="K28" s="12" t="str">
        <f t="shared" si="3"/>
        <v>#REF!</v>
      </c>
      <c r="L28" s="43">
        <v>27.0</v>
      </c>
      <c r="M28" s="29" t="s">
        <v>574</v>
      </c>
      <c r="N28" s="29" t="s">
        <v>40</v>
      </c>
    </row>
    <row r="29" ht="14.25" customHeight="1">
      <c r="A29" s="44" t="str">
        <f t="shared" ref="A29:B29" si="29">#REF!</f>
        <v>#REF!</v>
      </c>
      <c r="B29" s="44" t="str">
        <f t="shared" si="29"/>
        <v>#REF!</v>
      </c>
      <c r="C29" s="43" t="str">
        <f>IFERROR(VLOOKUP(B29, Routes!B:G, 6, FALSE), "")</f>
        <v/>
      </c>
      <c r="D29" s="43" t="str">
        <f>VLOOKUP(A29, Orders!A:O, 5, FALSE)</f>
        <v>#REF!</v>
      </c>
      <c r="E29" s="29" t="str">
        <f>VLOOKUP(A29, Orders!A:O, 4, FALSE)</f>
        <v>#REF!</v>
      </c>
      <c r="F29" s="44" t="str">
        <f>IFERROR(VLOOKUP(B29, DataBase!A:O, 5, FALSE), "No Order Found")</f>
        <v>No Order Found</v>
      </c>
      <c r="G29" s="44" t="str">
        <f>IFERROR(VLOOKUP(B29, DataBase!A:O, 6, FALSE), "No Order Found")</f>
        <v>No Order Found</v>
      </c>
      <c r="H29" s="44" t="str">
        <f>IFERROR(VLOOKUP(B29, DataBase!A:O, 7, FALSE), "No Order Found")</f>
        <v>No Order Found</v>
      </c>
      <c r="I29" s="43" t="s">
        <v>1318</v>
      </c>
      <c r="J29" s="44" t="str">
        <f>IFERROR(VLOOKUP(A29, Orders!A:O, 3, FALSE), "No Order Found")</f>
        <v>No Order Found</v>
      </c>
      <c r="K29" s="12" t="str">
        <f t="shared" si="3"/>
        <v>#REF!</v>
      </c>
      <c r="L29" s="43">
        <v>28.0</v>
      </c>
      <c r="M29" s="29" t="s">
        <v>402</v>
      </c>
      <c r="N29" s="29" t="s">
        <v>479</v>
      </c>
    </row>
    <row r="30" ht="14.25" customHeight="1">
      <c r="A30" s="44" t="str">
        <f t="shared" ref="A30:B30" si="30">#REF!</f>
        <v>#REF!</v>
      </c>
      <c r="B30" s="44" t="str">
        <f t="shared" si="30"/>
        <v>#REF!</v>
      </c>
      <c r="C30" s="43" t="str">
        <f>IFERROR(VLOOKUP(B30, Routes!B:G, 6, FALSE), "")</f>
        <v/>
      </c>
      <c r="D30" s="43" t="str">
        <f>VLOOKUP(A30, Orders!A:O, 5, FALSE)</f>
        <v>#REF!</v>
      </c>
      <c r="E30" s="29" t="str">
        <f>VLOOKUP(A30, Orders!A:O, 4, FALSE)</f>
        <v>#REF!</v>
      </c>
      <c r="F30" s="44" t="str">
        <f>IFERROR(VLOOKUP(B30, DataBase!A:O, 5, FALSE), "No Order Found")</f>
        <v>No Order Found</v>
      </c>
      <c r="G30" s="44" t="str">
        <f>IFERROR(VLOOKUP(B30, DataBase!A:O, 6, FALSE), "No Order Found")</f>
        <v>No Order Found</v>
      </c>
      <c r="H30" s="44" t="str">
        <f>IFERROR(VLOOKUP(B30, DataBase!A:O, 7, FALSE), "No Order Found")</f>
        <v>No Order Found</v>
      </c>
      <c r="I30" s="43" t="s">
        <v>1318</v>
      </c>
      <c r="J30" s="44" t="str">
        <f>IFERROR(VLOOKUP(A30, Orders!A:O, 3, FALSE), "No Order Found")</f>
        <v>No Order Found</v>
      </c>
      <c r="K30" s="12" t="str">
        <f t="shared" si="3"/>
        <v>#REF!</v>
      </c>
      <c r="L30" s="43">
        <v>29.0</v>
      </c>
      <c r="M30" s="29" t="s">
        <v>938</v>
      </c>
      <c r="N30" s="29" t="s">
        <v>825</v>
      </c>
    </row>
    <row r="31" ht="14.25" customHeight="1">
      <c r="A31" s="44" t="str">
        <f t="shared" ref="A31:B31" si="31">#REF!</f>
        <v>#REF!</v>
      </c>
      <c r="B31" s="44" t="str">
        <f t="shared" si="31"/>
        <v>#REF!</v>
      </c>
      <c r="C31" s="43" t="str">
        <f>IFERROR(VLOOKUP(B31, Routes!B:G, 6, FALSE), "")</f>
        <v/>
      </c>
      <c r="D31" s="43" t="str">
        <f>VLOOKUP(A31, Orders!A:O, 5, FALSE)</f>
        <v>#REF!</v>
      </c>
      <c r="E31" s="29" t="str">
        <f>VLOOKUP(A31, Orders!A:O, 4, FALSE)</f>
        <v>#REF!</v>
      </c>
      <c r="F31" s="44" t="str">
        <f>IFERROR(VLOOKUP(B31, DataBase!A:O, 5, FALSE), "No Order Found")</f>
        <v>No Order Found</v>
      </c>
      <c r="G31" s="44" t="str">
        <f>IFERROR(VLOOKUP(B31, DataBase!A:O, 6, FALSE), "No Order Found")</f>
        <v>No Order Found</v>
      </c>
      <c r="H31" s="44" t="str">
        <f>IFERROR(VLOOKUP(B31, DataBase!A:O, 7, FALSE), "No Order Found")</f>
        <v>No Order Found</v>
      </c>
      <c r="I31" s="43" t="s">
        <v>1318</v>
      </c>
      <c r="J31" s="44" t="str">
        <f>IFERROR(VLOOKUP(A31, Orders!A:O, 3, FALSE), "No Order Found")</f>
        <v>No Order Found</v>
      </c>
      <c r="K31" s="12" t="str">
        <f t="shared" si="3"/>
        <v>#REF!</v>
      </c>
      <c r="L31" s="43">
        <v>30.0</v>
      </c>
      <c r="M31" s="29" t="s">
        <v>808</v>
      </c>
      <c r="N31" s="29" t="s">
        <v>530</v>
      </c>
    </row>
    <row r="32" ht="14.25" customHeight="1">
      <c r="A32" s="44" t="str">
        <f t="shared" ref="A32:B32" si="32">#REF!</f>
        <v>#REF!</v>
      </c>
      <c r="B32" s="44" t="str">
        <f t="shared" si="32"/>
        <v>#REF!</v>
      </c>
      <c r="C32" s="43" t="str">
        <f>IFERROR(VLOOKUP(B32, Routes!B:G, 6, FALSE), "")</f>
        <v/>
      </c>
      <c r="D32" s="43" t="str">
        <f>VLOOKUP(A32, Orders!A:O, 5, FALSE)</f>
        <v>#REF!</v>
      </c>
      <c r="E32" s="29" t="str">
        <f>VLOOKUP(A32, Orders!A:O, 4, FALSE)</f>
        <v>#REF!</v>
      </c>
      <c r="F32" s="44" t="str">
        <f>IFERROR(VLOOKUP(B32, DataBase!A:O, 5, FALSE), "No Order Found")</f>
        <v>No Order Found</v>
      </c>
      <c r="G32" s="44" t="str">
        <f>IFERROR(VLOOKUP(B32, DataBase!A:O, 6, FALSE), "No Order Found")</f>
        <v>No Order Found</v>
      </c>
      <c r="H32" s="44" t="str">
        <f>IFERROR(VLOOKUP(B32, DataBase!A:O, 7, FALSE), "No Order Found")</f>
        <v>No Order Found</v>
      </c>
      <c r="I32" s="43" t="s">
        <v>1318</v>
      </c>
      <c r="J32" s="44" t="str">
        <f>IFERROR(VLOOKUP(A32, Orders!A:O, 3, FALSE), "No Order Found")</f>
        <v>No Order Found</v>
      </c>
      <c r="K32" s="12" t="str">
        <f t="shared" si="3"/>
        <v>#REF!</v>
      </c>
      <c r="L32" s="43">
        <v>31.0</v>
      </c>
      <c r="M32" s="29" t="s">
        <v>28</v>
      </c>
      <c r="N32" s="29" t="s">
        <v>553</v>
      </c>
    </row>
    <row r="33" ht="14.25" customHeight="1">
      <c r="A33" s="44" t="str">
        <f t="shared" ref="A33:B33" si="33">#REF!</f>
        <v>#REF!</v>
      </c>
      <c r="B33" s="44" t="str">
        <f t="shared" si="33"/>
        <v>#REF!</v>
      </c>
      <c r="C33" s="43" t="str">
        <f>IFERROR(VLOOKUP(B33, Routes!B:G, 6, FALSE), "")</f>
        <v/>
      </c>
      <c r="D33" s="43" t="str">
        <f>VLOOKUP(A33, Orders!A:O, 5, FALSE)</f>
        <v>#REF!</v>
      </c>
      <c r="E33" s="29" t="str">
        <f>VLOOKUP(A33, Orders!A:O, 4, FALSE)</f>
        <v>#REF!</v>
      </c>
      <c r="F33" s="44" t="str">
        <f>IFERROR(VLOOKUP(B33, DataBase!A:O, 5, FALSE), "No Order Found")</f>
        <v>No Order Found</v>
      </c>
      <c r="G33" s="44" t="str">
        <f>IFERROR(VLOOKUP(B33, DataBase!A:O, 6, FALSE), "No Order Found")</f>
        <v>No Order Found</v>
      </c>
      <c r="H33" s="44" t="str">
        <f>IFERROR(VLOOKUP(B33, DataBase!A:O, 7, FALSE), "No Order Found")</f>
        <v>No Order Found</v>
      </c>
      <c r="I33" s="43" t="s">
        <v>1318</v>
      </c>
      <c r="J33" s="44" t="str">
        <f>IFERROR(VLOOKUP(A33, Orders!A:O, 3, FALSE), "No Order Found")</f>
        <v>No Order Found</v>
      </c>
      <c r="K33" s="12" t="str">
        <f t="shared" si="3"/>
        <v>#REF!</v>
      </c>
      <c r="L33" s="43">
        <v>32.0</v>
      </c>
      <c r="M33" s="29" t="s">
        <v>373</v>
      </c>
      <c r="N33" s="29" t="s">
        <v>96</v>
      </c>
    </row>
    <row r="34" ht="14.25" customHeight="1">
      <c r="A34" s="44" t="str">
        <f t="shared" ref="A34:B34" si="34">#REF!</f>
        <v>#REF!</v>
      </c>
      <c r="B34" s="44" t="str">
        <f t="shared" si="34"/>
        <v>#REF!</v>
      </c>
      <c r="C34" s="43" t="str">
        <f>IFERROR(VLOOKUP(B34, Routes!B:G, 6, FALSE), "")</f>
        <v/>
      </c>
      <c r="D34" s="43" t="str">
        <f>VLOOKUP(A34, Orders!A:O, 5, FALSE)</f>
        <v>#REF!</v>
      </c>
      <c r="E34" s="29" t="str">
        <f>VLOOKUP(A34, Orders!A:O, 4, FALSE)</f>
        <v>#REF!</v>
      </c>
      <c r="F34" s="44" t="str">
        <f>IFERROR(VLOOKUP(B34, DataBase!A:O, 5, FALSE), "No Order Found")</f>
        <v>No Order Found</v>
      </c>
      <c r="G34" s="44" t="str">
        <f>IFERROR(VLOOKUP(B34, DataBase!A:O, 6, FALSE), "No Order Found")</f>
        <v>No Order Found</v>
      </c>
      <c r="H34" s="44" t="str">
        <f>IFERROR(VLOOKUP(B34, DataBase!A:O, 7, FALSE), "No Order Found")</f>
        <v>No Order Found</v>
      </c>
      <c r="I34" s="43" t="s">
        <v>1318</v>
      </c>
      <c r="J34" s="44" t="str">
        <f>IFERROR(VLOOKUP(A34, Orders!A:O, 3, FALSE), "No Order Found")</f>
        <v>No Order Found</v>
      </c>
      <c r="K34" s="12" t="str">
        <f t="shared" si="3"/>
        <v>#REF!</v>
      </c>
      <c r="L34" s="43">
        <v>33.0</v>
      </c>
      <c r="M34" s="29" t="s">
        <v>782</v>
      </c>
      <c r="N34" s="29" t="s">
        <v>72</v>
      </c>
    </row>
    <row r="35" ht="14.25" customHeight="1">
      <c r="A35" s="44" t="str">
        <f t="shared" ref="A35:B35" si="35">#REF!</f>
        <v>#REF!</v>
      </c>
      <c r="B35" s="44" t="str">
        <f t="shared" si="35"/>
        <v>#REF!</v>
      </c>
      <c r="C35" s="43" t="str">
        <f>IFERROR(VLOOKUP(B35, Routes!B:G, 6, FALSE), "")</f>
        <v/>
      </c>
      <c r="D35" s="43" t="str">
        <f>VLOOKUP(A35, Orders!A:O, 5, FALSE)</f>
        <v>#REF!</v>
      </c>
      <c r="E35" s="29" t="str">
        <f>VLOOKUP(A35, Orders!A:O, 4, FALSE)</f>
        <v>#REF!</v>
      </c>
      <c r="F35" s="44" t="str">
        <f>IFERROR(VLOOKUP(B35, DataBase!A:O, 5, FALSE), "No Order Found")</f>
        <v>No Order Found</v>
      </c>
      <c r="G35" s="44" t="str">
        <f>IFERROR(VLOOKUP(B35, DataBase!A:O, 6, FALSE), "No Order Found")</f>
        <v>No Order Found</v>
      </c>
      <c r="H35" s="44" t="str">
        <f>IFERROR(VLOOKUP(B35, DataBase!A:O, 7, FALSE), "No Order Found")</f>
        <v>No Order Found</v>
      </c>
      <c r="I35" s="43" t="s">
        <v>1318</v>
      </c>
      <c r="J35" s="44" t="str">
        <f>IFERROR(VLOOKUP(A35, Orders!A:O, 3, FALSE), "No Order Found")</f>
        <v>No Order Found</v>
      </c>
      <c r="K35" s="12" t="str">
        <f t="shared" si="3"/>
        <v>#REF!</v>
      </c>
      <c r="L35" s="43">
        <v>34.0</v>
      </c>
      <c r="M35" s="29" t="s">
        <v>1253</v>
      </c>
      <c r="N35" s="42"/>
    </row>
    <row r="36" ht="14.25" customHeight="1">
      <c r="A36" s="44" t="str">
        <f t="shared" ref="A36:B36" si="36">#REF!</f>
        <v>#REF!</v>
      </c>
      <c r="B36" s="44" t="str">
        <f t="shared" si="36"/>
        <v>#REF!</v>
      </c>
      <c r="C36" s="43" t="str">
        <f>IFERROR(VLOOKUP(B36, Routes!B:G, 6, FALSE), "")</f>
        <v/>
      </c>
      <c r="D36" s="43" t="str">
        <f>VLOOKUP(A36, Orders!A:O, 5, FALSE)</f>
        <v>#REF!</v>
      </c>
      <c r="E36" s="29" t="str">
        <f>VLOOKUP(A36, Orders!A:O, 4, FALSE)</f>
        <v>#REF!</v>
      </c>
      <c r="F36" s="44" t="str">
        <f>IFERROR(VLOOKUP(B36, DataBase!A:O, 5, FALSE), "No Order Found")</f>
        <v>No Order Found</v>
      </c>
      <c r="G36" s="44" t="str">
        <f>IFERROR(VLOOKUP(B36, DataBase!A:O, 6, FALSE), "No Order Found")</f>
        <v>No Order Found</v>
      </c>
      <c r="H36" s="44" t="str">
        <f>IFERROR(VLOOKUP(B36, DataBase!A:O, 7, FALSE), "No Order Found")</f>
        <v>No Order Found</v>
      </c>
      <c r="I36" s="43" t="s">
        <v>1318</v>
      </c>
      <c r="J36" s="44" t="str">
        <f>IFERROR(VLOOKUP(A36, Orders!A:O, 3, FALSE), "No Order Found")</f>
        <v>No Order Found</v>
      </c>
      <c r="K36" s="12" t="str">
        <f t="shared" si="3"/>
        <v>#REF!</v>
      </c>
      <c r="L36" s="43">
        <v>35.0</v>
      </c>
      <c r="M36" s="29" t="s">
        <v>501</v>
      </c>
      <c r="N36" s="29" t="s">
        <v>407</v>
      </c>
    </row>
    <row r="37" ht="14.25" customHeight="1">
      <c r="A37" s="44" t="str">
        <f t="shared" ref="A37:B37" si="37">#REF!</f>
        <v>#REF!</v>
      </c>
      <c r="B37" s="44" t="str">
        <f t="shared" si="37"/>
        <v>#REF!</v>
      </c>
      <c r="C37" s="43" t="str">
        <f>IFERROR(VLOOKUP(B37, Routes!B:G, 6, FALSE), "")</f>
        <v/>
      </c>
      <c r="D37" s="43" t="str">
        <f>VLOOKUP(A37, Orders!A:O, 5, FALSE)</f>
        <v>#REF!</v>
      </c>
      <c r="E37" s="29" t="str">
        <f>VLOOKUP(A37, Orders!A:O, 4, FALSE)</f>
        <v>#REF!</v>
      </c>
      <c r="F37" s="44" t="str">
        <f>IFERROR(VLOOKUP(B37, DataBase!A:O, 5, FALSE), "No Order Found")</f>
        <v>No Order Found</v>
      </c>
      <c r="G37" s="44" t="str">
        <f>IFERROR(VLOOKUP(B37, DataBase!A:O, 6, FALSE), "No Order Found")</f>
        <v>No Order Found</v>
      </c>
      <c r="H37" s="44" t="str">
        <f>IFERROR(VLOOKUP(B37, DataBase!A:O, 7, FALSE), "No Order Found")</f>
        <v>No Order Found</v>
      </c>
      <c r="I37" s="43" t="s">
        <v>1318</v>
      </c>
      <c r="J37" s="44" t="str">
        <f>IFERROR(VLOOKUP(A37, Orders!A:O, 3, FALSE), "No Order Found")</f>
        <v>No Order Found</v>
      </c>
      <c r="K37" s="12" t="str">
        <f t="shared" si="3"/>
        <v>#REF!</v>
      </c>
      <c r="L37" s="43">
        <v>36.0</v>
      </c>
      <c r="M37" s="29" t="s">
        <v>917</v>
      </c>
      <c r="N37" s="29" t="s">
        <v>439</v>
      </c>
    </row>
    <row r="38" ht="14.25" customHeight="1">
      <c r="A38" s="44" t="str">
        <f t="shared" ref="A38:B38" si="38">#REF!</f>
        <v>#REF!</v>
      </c>
      <c r="B38" s="44" t="str">
        <f t="shared" si="38"/>
        <v>#REF!</v>
      </c>
      <c r="C38" s="43" t="str">
        <f>IFERROR(VLOOKUP(B38, Routes!B:G, 6, FALSE), "")</f>
        <v/>
      </c>
      <c r="D38" s="43" t="str">
        <f>VLOOKUP(A38, Orders!A:O, 5, FALSE)</f>
        <v>#REF!</v>
      </c>
      <c r="E38" s="29" t="str">
        <f>VLOOKUP(A38, Orders!A:O, 4, FALSE)</f>
        <v>#REF!</v>
      </c>
      <c r="F38" s="44" t="str">
        <f>IFERROR(VLOOKUP(B38, DataBase!A:O, 5, FALSE), "No Order Found")</f>
        <v>No Order Found</v>
      </c>
      <c r="G38" s="44" t="str">
        <f>IFERROR(VLOOKUP(B38, DataBase!A:O, 6, FALSE), "No Order Found")</f>
        <v>No Order Found</v>
      </c>
      <c r="H38" s="44" t="str">
        <f>IFERROR(VLOOKUP(B38, DataBase!A:O, 7, FALSE), "No Order Found")</f>
        <v>No Order Found</v>
      </c>
      <c r="I38" s="43" t="s">
        <v>1318</v>
      </c>
      <c r="J38" s="44" t="str">
        <f>IFERROR(VLOOKUP(A38, Orders!A:O, 3, FALSE), "No Order Found")</f>
        <v>No Order Found</v>
      </c>
      <c r="K38" s="12" t="str">
        <f t="shared" si="3"/>
        <v>#REF!</v>
      </c>
      <c r="L38" s="43">
        <v>37.0</v>
      </c>
      <c r="M38" s="29" t="s">
        <v>896</v>
      </c>
      <c r="N38" s="29" t="s">
        <v>338</v>
      </c>
    </row>
    <row r="39" ht="14.25" customHeight="1">
      <c r="A39" s="44" t="str">
        <f>Orders!A2</f>
        <v/>
      </c>
      <c r="B39" s="44" t="str">
        <f>Orders!B2</f>
        <v/>
      </c>
      <c r="C39" s="43" t="str">
        <f>IFERROR(VLOOKUP(B39, Routes!B:G, 6, FALSE), "")</f>
        <v/>
      </c>
      <c r="D39" s="43" t="str">
        <f>VLOOKUP(A39, Orders!A:O, 5, FALSE)</f>
        <v>#N/A</v>
      </c>
      <c r="E39" s="29" t="str">
        <f>VLOOKUP(A39, Orders!A:O, 4, FALSE)</f>
        <v>#N/A</v>
      </c>
      <c r="F39" s="44" t="str">
        <f>IFERROR(VLOOKUP(B39, DataBase!A:O, 5, FALSE), "No Order Found")</f>
        <v>No Order Found</v>
      </c>
      <c r="G39" s="44" t="str">
        <f>IFERROR(VLOOKUP(B39, DataBase!A:O, 6, FALSE), "No Order Found")</f>
        <v>No Order Found</v>
      </c>
      <c r="H39" s="44" t="str">
        <f>IFERROR(VLOOKUP(B39, DataBase!A:O, 7, FALSE), "No Order Found")</f>
        <v>No Order Found</v>
      </c>
      <c r="I39" s="43" t="s">
        <v>1318</v>
      </c>
      <c r="J39" s="44" t="str">
        <f>IFERROR(VLOOKUP(A39, Orders!A:O, 3, FALSE), "No Order Found")</f>
        <v>No Order Found</v>
      </c>
      <c r="K39" s="12" t="str">
        <f t="shared" si="3"/>
        <v>#N/A</v>
      </c>
      <c r="L39" s="43">
        <v>38.0</v>
      </c>
      <c r="M39" s="29" t="s">
        <v>927</v>
      </c>
      <c r="N39" s="29" t="s">
        <v>788</v>
      </c>
    </row>
    <row r="40" ht="14.25" customHeight="1">
      <c r="A40" s="44" t="str">
        <f>Orders!A3</f>
        <v/>
      </c>
      <c r="B40" s="44" t="str">
        <f>Orders!B3</f>
        <v/>
      </c>
      <c r="C40" s="43" t="str">
        <f>IFERROR(VLOOKUP(B40, Routes!B:G, 6, FALSE), "")</f>
        <v/>
      </c>
      <c r="D40" s="43" t="str">
        <f>VLOOKUP(A40, Orders!A:O, 5, FALSE)</f>
        <v>#N/A</v>
      </c>
      <c r="E40" s="29" t="str">
        <f>VLOOKUP(A40, Orders!A:O, 4, FALSE)</f>
        <v>#N/A</v>
      </c>
      <c r="F40" s="44" t="str">
        <f>IFERROR(VLOOKUP(B40, DataBase!A:O, 5, FALSE), "No Order Found")</f>
        <v>No Order Found</v>
      </c>
      <c r="G40" s="44" t="str">
        <f>IFERROR(VLOOKUP(B40, DataBase!A:O, 6, FALSE), "No Order Found")</f>
        <v>No Order Found</v>
      </c>
      <c r="H40" s="44" t="str">
        <f>IFERROR(VLOOKUP(B40, DataBase!A:O, 7, FALSE), "No Order Found")</f>
        <v>No Order Found</v>
      </c>
      <c r="I40" s="43" t="s">
        <v>1318</v>
      </c>
      <c r="J40" s="44" t="str">
        <f>IFERROR(VLOOKUP(A40, Orders!A:O, 3, FALSE), "No Order Found")</f>
        <v>No Order Found</v>
      </c>
      <c r="K40" s="12" t="str">
        <f t="shared" si="3"/>
        <v>#N/A</v>
      </c>
      <c r="L40" s="43">
        <v>39.0</v>
      </c>
      <c r="M40" s="29" t="s">
        <v>852</v>
      </c>
      <c r="N40" s="29" t="s">
        <v>379</v>
      </c>
    </row>
    <row r="41" ht="14.25" customHeight="1">
      <c r="A41" s="44" t="str">
        <f>Orders!A4</f>
        <v/>
      </c>
      <c r="B41" s="44" t="str">
        <f>Orders!B4</f>
        <v/>
      </c>
      <c r="C41" s="43" t="str">
        <f>IFERROR(VLOOKUP(B41, Routes!B:G, 6, FALSE), "")</f>
        <v/>
      </c>
      <c r="D41" s="43" t="str">
        <f>VLOOKUP(A41, Orders!A:O, 5, FALSE)</f>
        <v>#N/A</v>
      </c>
      <c r="E41" s="29" t="str">
        <f>VLOOKUP(A41, Orders!A:O, 4, FALSE)</f>
        <v>#N/A</v>
      </c>
      <c r="F41" s="44" t="str">
        <f>IFERROR(VLOOKUP(B41, DataBase!A:O, 5, FALSE), "No Order Found")</f>
        <v>No Order Found</v>
      </c>
      <c r="G41" s="44" t="str">
        <f>IFERROR(VLOOKUP(B41, DataBase!A:O, 6, FALSE), "No Order Found")</f>
        <v>No Order Found</v>
      </c>
      <c r="H41" s="44" t="str">
        <f>IFERROR(VLOOKUP(B41, DataBase!A:O, 7, FALSE), "No Order Found")</f>
        <v>No Order Found</v>
      </c>
      <c r="I41" s="43" t="s">
        <v>1318</v>
      </c>
      <c r="J41" s="44" t="str">
        <f>IFERROR(VLOOKUP(A41, Orders!A:O, 3, FALSE), "No Order Found")</f>
        <v>No Order Found</v>
      </c>
      <c r="K41" s="12" t="str">
        <f t="shared" si="3"/>
        <v>#N/A</v>
      </c>
      <c r="L41" s="43">
        <v>40.0</v>
      </c>
      <c r="M41" s="29" t="s">
        <v>553</v>
      </c>
      <c r="N41" s="29" t="s">
        <v>1109</v>
      </c>
    </row>
    <row r="42" ht="14.25" customHeight="1">
      <c r="A42" s="44" t="str">
        <f>Orders!A5</f>
        <v/>
      </c>
      <c r="B42" s="44" t="str">
        <f>Orders!B5</f>
        <v/>
      </c>
      <c r="C42" s="43" t="str">
        <f>IFERROR(VLOOKUP(B42, Routes!B:G, 6, FALSE), "")</f>
        <v/>
      </c>
      <c r="D42" s="43" t="str">
        <f>VLOOKUP(A42, Orders!A:O, 5, FALSE)</f>
        <v>#N/A</v>
      </c>
      <c r="E42" s="29" t="str">
        <f>VLOOKUP(A42, Orders!A:O, 4, FALSE)</f>
        <v>#N/A</v>
      </c>
      <c r="F42" s="44" t="str">
        <f>IFERROR(VLOOKUP(B42, DataBase!A:O, 5, FALSE), "No Order Found")</f>
        <v>No Order Found</v>
      </c>
      <c r="G42" s="44" t="str">
        <f>IFERROR(VLOOKUP(B42, DataBase!A:O, 6, FALSE), "No Order Found")</f>
        <v>No Order Found</v>
      </c>
      <c r="H42" s="44" t="str">
        <f>IFERROR(VLOOKUP(B42, DataBase!A:O, 7, FALSE), "No Order Found")</f>
        <v>No Order Found</v>
      </c>
      <c r="I42" s="43" t="s">
        <v>1318</v>
      </c>
      <c r="J42" s="44" t="str">
        <f>IFERROR(VLOOKUP(A42, Orders!A:O, 3, FALSE), "No Order Found")</f>
        <v>No Order Found</v>
      </c>
      <c r="K42" s="12" t="str">
        <f t="shared" si="3"/>
        <v>#N/A</v>
      </c>
      <c r="L42" s="43">
        <v>41.0</v>
      </c>
      <c r="M42" s="29" t="s">
        <v>204</v>
      </c>
      <c r="N42" s="29" t="s">
        <v>569</v>
      </c>
    </row>
    <row r="43" ht="14.25" customHeight="1">
      <c r="A43" s="44" t="str">
        <f>Orders!A6</f>
        <v/>
      </c>
      <c r="B43" s="44" t="str">
        <f>Orders!B6</f>
        <v/>
      </c>
      <c r="C43" s="43" t="str">
        <f>IFERROR(VLOOKUP(B43, Routes!B:G, 6, FALSE), "")</f>
        <v/>
      </c>
      <c r="D43" s="43" t="str">
        <f>VLOOKUP(A43, Orders!A:O, 5, FALSE)</f>
        <v>#N/A</v>
      </c>
      <c r="E43" s="29" t="str">
        <f>VLOOKUP(A43, Orders!A:O, 4, FALSE)</f>
        <v>#N/A</v>
      </c>
      <c r="F43" s="44" t="str">
        <f>IFERROR(VLOOKUP(B43, DataBase!A:O, 5, FALSE), "No Order Found")</f>
        <v>No Order Found</v>
      </c>
      <c r="G43" s="44" t="str">
        <f>IFERROR(VLOOKUP(B43, DataBase!A:O, 6, FALSE), "No Order Found")</f>
        <v>No Order Found</v>
      </c>
      <c r="H43" s="44" t="str">
        <f>IFERROR(VLOOKUP(B43, DataBase!A:O, 7, FALSE), "No Order Found")</f>
        <v>No Order Found</v>
      </c>
      <c r="I43" s="43" t="s">
        <v>1318</v>
      </c>
      <c r="J43" s="44" t="str">
        <f>IFERROR(VLOOKUP(A43, Orders!A:O, 3, FALSE), "No Order Found")</f>
        <v>No Order Found</v>
      </c>
      <c r="K43" s="12" t="str">
        <f t="shared" si="3"/>
        <v>#N/A</v>
      </c>
      <c r="L43" s="43">
        <v>42.0</v>
      </c>
      <c r="M43" s="29" t="s">
        <v>167</v>
      </c>
      <c r="N43" s="29" t="e">
        <v>#N/A</v>
      </c>
    </row>
    <row r="44" ht="14.25" customHeight="1">
      <c r="A44" s="44" t="str">
        <f>Orders!A7</f>
        <v/>
      </c>
      <c r="B44" s="44" t="str">
        <f>Orders!B7</f>
        <v/>
      </c>
      <c r="C44" s="43" t="str">
        <f>IFERROR(VLOOKUP(B44, Routes!B:G, 6, FALSE), "")</f>
        <v/>
      </c>
      <c r="D44" s="43" t="str">
        <f>VLOOKUP(A44, Orders!A:O, 5, FALSE)</f>
        <v>#N/A</v>
      </c>
      <c r="E44" s="29" t="str">
        <f>VLOOKUP(A44, Orders!A:O, 4, FALSE)</f>
        <v>#N/A</v>
      </c>
      <c r="F44" s="44" t="str">
        <f>IFERROR(VLOOKUP(B44, DataBase!A:O, 5, FALSE), "No Order Found")</f>
        <v>No Order Found</v>
      </c>
      <c r="G44" s="44" t="str">
        <f>IFERROR(VLOOKUP(B44, DataBase!A:O, 6, FALSE), "No Order Found")</f>
        <v>No Order Found</v>
      </c>
      <c r="H44" s="44" t="str">
        <f>IFERROR(VLOOKUP(B44, DataBase!A:O, 7, FALSE), "No Order Found")</f>
        <v>No Order Found</v>
      </c>
      <c r="I44" s="43" t="s">
        <v>1318</v>
      </c>
      <c r="J44" s="44" t="str">
        <f>IFERROR(VLOOKUP(A44, Orders!A:O, 3, FALSE), "No Order Found")</f>
        <v>No Order Found</v>
      </c>
      <c r="K44" s="12" t="str">
        <f t="shared" si="3"/>
        <v>#N/A</v>
      </c>
      <c r="L44" s="43">
        <v>43.0</v>
      </c>
      <c r="M44" s="29" t="s">
        <v>412</v>
      </c>
      <c r="N44" s="29" t="s">
        <v>1087</v>
      </c>
    </row>
    <row r="45" ht="14.25" customHeight="1">
      <c r="A45" s="44" t="str">
        <f>Orders!A8</f>
        <v/>
      </c>
      <c r="B45" s="44" t="str">
        <f>Orders!B8</f>
        <v/>
      </c>
      <c r="C45" s="43" t="str">
        <f>IFERROR(VLOOKUP(B45, Routes!B:G, 6, FALSE), "")</f>
        <v/>
      </c>
      <c r="D45" s="43" t="str">
        <f>VLOOKUP(A45, Orders!A:O, 5, FALSE)</f>
        <v>#N/A</v>
      </c>
      <c r="E45" s="29" t="str">
        <f>VLOOKUP(A45, Orders!A:O, 4, FALSE)</f>
        <v>#N/A</v>
      </c>
      <c r="F45" s="44" t="str">
        <f>IFERROR(VLOOKUP(B45, DataBase!A:O, 5, FALSE), "No Order Found")</f>
        <v>No Order Found</v>
      </c>
      <c r="G45" s="44" t="str">
        <f>IFERROR(VLOOKUP(B45, DataBase!A:O, 6, FALSE), "No Order Found")</f>
        <v>No Order Found</v>
      </c>
      <c r="H45" s="44" t="str">
        <f>IFERROR(VLOOKUP(B45, DataBase!A:O, 7, FALSE), "No Order Found")</f>
        <v>No Order Found</v>
      </c>
      <c r="I45" s="43" t="s">
        <v>1318</v>
      </c>
      <c r="J45" s="44" t="str">
        <f>IFERROR(VLOOKUP(A45, Orders!A:O, 3, FALSE), "No Order Found")</f>
        <v>No Order Found</v>
      </c>
      <c r="K45" s="12" t="str">
        <f t="shared" si="3"/>
        <v>#N/A</v>
      </c>
      <c r="L45" s="43">
        <v>44.0</v>
      </c>
      <c r="M45" s="29" t="s">
        <v>1241</v>
      </c>
      <c r="N45" s="42"/>
    </row>
    <row r="46" ht="14.25" customHeight="1">
      <c r="A46" s="44" t="str">
        <f>Orders!A9</f>
        <v/>
      </c>
      <c r="B46" s="44" t="str">
        <f>Orders!B9</f>
        <v/>
      </c>
      <c r="C46" s="43" t="str">
        <f>IFERROR(VLOOKUP(B46, Routes!B:G, 6, FALSE), "")</f>
        <v/>
      </c>
      <c r="D46" s="43" t="str">
        <f>VLOOKUP(A46, Orders!A:O, 5, FALSE)</f>
        <v>#N/A</v>
      </c>
      <c r="E46" s="29" t="str">
        <f>VLOOKUP(A46, Orders!A:O, 4, FALSE)</f>
        <v>#N/A</v>
      </c>
      <c r="F46" s="44" t="str">
        <f>IFERROR(VLOOKUP(B46, DataBase!A:O, 5, FALSE), "No Order Found")</f>
        <v>No Order Found</v>
      </c>
      <c r="G46" s="44" t="str">
        <f>IFERROR(VLOOKUP(B46, DataBase!A:O, 6, FALSE), "No Order Found")</f>
        <v>No Order Found</v>
      </c>
      <c r="H46" s="44" t="str">
        <f>IFERROR(VLOOKUP(B46, DataBase!A:O, 7, FALSE), "No Order Found")</f>
        <v>No Order Found</v>
      </c>
      <c r="I46" s="43" t="s">
        <v>1318</v>
      </c>
      <c r="J46" s="44" t="str">
        <f>IFERROR(VLOOKUP(A46, Orders!A:O, 3, FALSE), "No Order Found")</f>
        <v>No Order Found</v>
      </c>
      <c r="K46" s="12" t="str">
        <f t="shared" si="3"/>
        <v>#N/A</v>
      </c>
      <c r="L46" s="43">
        <v>45.0</v>
      </c>
      <c r="M46" s="29" t="s">
        <v>40</v>
      </c>
      <c r="N46" s="29" t="s">
        <v>355</v>
      </c>
    </row>
    <row r="47" ht="14.25" customHeight="1">
      <c r="A47" s="44" t="str">
        <f>Orders!A10</f>
        <v/>
      </c>
      <c r="B47" s="44" t="str">
        <f>Orders!B10</f>
        <v/>
      </c>
      <c r="C47" s="43" t="str">
        <f>IFERROR(VLOOKUP(B47, Routes!B:G, 6, FALSE), "")</f>
        <v/>
      </c>
      <c r="D47" s="43" t="str">
        <f>VLOOKUP(A47, Orders!A:O, 5, FALSE)</f>
        <v>#N/A</v>
      </c>
      <c r="E47" s="29" t="str">
        <f>VLOOKUP(A47, Orders!A:O, 4, FALSE)</f>
        <v>#N/A</v>
      </c>
      <c r="F47" s="44" t="str">
        <f>IFERROR(VLOOKUP(B47, DataBase!A:O, 5, FALSE), "No Order Found")</f>
        <v>No Order Found</v>
      </c>
      <c r="G47" s="44" t="str">
        <f>IFERROR(VLOOKUP(B47, DataBase!A:O, 6, FALSE), "No Order Found")</f>
        <v>No Order Found</v>
      </c>
      <c r="H47" s="44" t="str">
        <f>IFERROR(VLOOKUP(B47, DataBase!A:O, 7, FALSE), "No Order Found")</f>
        <v>No Order Found</v>
      </c>
      <c r="I47" s="43" t="s">
        <v>1318</v>
      </c>
      <c r="J47" s="44" t="str">
        <f>IFERROR(VLOOKUP(A47, Orders!A:O, 3, FALSE), "No Order Found")</f>
        <v>No Order Found</v>
      </c>
      <c r="K47" s="12" t="str">
        <f t="shared" si="3"/>
        <v>#N/A</v>
      </c>
      <c r="L47" s="43">
        <v>46.0</v>
      </c>
      <c r="M47" s="29" t="s">
        <v>1247</v>
      </c>
      <c r="N47" s="42"/>
    </row>
    <row r="48" ht="14.25" customHeight="1">
      <c r="A48" s="44" t="str">
        <f>Orders!A11</f>
        <v/>
      </c>
      <c r="B48" s="44" t="str">
        <f>Orders!B11</f>
        <v/>
      </c>
      <c r="C48" s="43" t="str">
        <f>IFERROR(VLOOKUP(B48, Routes!B:G, 6, FALSE), "")</f>
        <v/>
      </c>
      <c r="D48" s="43" t="str">
        <f>VLOOKUP(A48, Orders!A:O, 5, FALSE)</f>
        <v>#N/A</v>
      </c>
      <c r="E48" s="29" t="str">
        <f>VLOOKUP(A48, Orders!A:O, 4, FALSE)</f>
        <v>#N/A</v>
      </c>
      <c r="F48" s="44" t="str">
        <f>IFERROR(VLOOKUP(B48, DataBase!A:O, 5, FALSE), "No Order Found")</f>
        <v>No Order Found</v>
      </c>
      <c r="G48" s="44" t="str">
        <f>IFERROR(VLOOKUP(B48, DataBase!A:O, 6, FALSE), "No Order Found")</f>
        <v>No Order Found</v>
      </c>
      <c r="H48" s="44" t="str">
        <f>IFERROR(VLOOKUP(B48, DataBase!A:O, 7, FALSE), "No Order Found")</f>
        <v>No Order Found</v>
      </c>
      <c r="I48" s="43" t="s">
        <v>1318</v>
      </c>
      <c r="J48" s="44" t="str">
        <f>IFERROR(VLOOKUP(A48, Orders!A:O, 3, FALSE), "No Order Found")</f>
        <v>No Order Found</v>
      </c>
      <c r="K48" s="12" t="str">
        <f t="shared" si="3"/>
        <v>#N/A</v>
      </c>
      <c r="L48" s="43">
        <v>47.0</v>
      </c>
      <c r="M48" s="29" t="s">
        <v>874</v>
      </c>
      <c r="N48" s="29" t="s">
        <v>808</v>
      </c>
    </row>
    <row r="49" ht="14.25" customHeight="1">
      <c r="A49" s="44" t="str">
        <f>Orders!A12</f>
        <v/>
      </c>
      <c r="B49" s="44" t="str">
        <f>Orders!B12</f>
        <v/>
      </c>
      <c r="C49" s="43" t="str">
        <f>IFERROR(VLOOKUP(B49, Routes!B:G, 6, FALSE), "")</f>
        <v/>
      </c>
      <c r="D49" s="43" t="str">
        <f>VLOOKUP(A49, Orders!A:O, 5, FALSE)</f>
        <v>#N/A</v>
      </c>
      <c r="E49" s="29" t="str">
        <f>VLOOKUP(A49, Orders!A:O, 4, FALSE)</f>
        <v>#N/A</v>
      </c>
      <c r="F49" s="44" t="str">
        <f>IFERROR(VLOOKUP(B49, DataBase!A:O, 5, FALSE), "No Order Found")</f>
        <v>No Order Found</v>
      </c>
      <c r="G49" s="44" t="str">
        <f>IFERROR(VLOOKUP(B49, DataBase!A:O, 6, FALSE), "No Order Found")</f>
        <v>No Order Found</v>
      </c>
      <c r="H49" s="44" t="str">
        <f>IFERROR(VLOOKUP(B49, DataBase!A:O, 7, FALSE), "No Order Found")</f>
        <v>No Order Found</v>
      </c>
      <c r="I49" s="43" t="s">
        <v>1318</v>
      </c>
      <c r="J49" s="44" t="str">
        <f>IFERROR(VLOOKUP(A49, Orders!A:O, 3, FALSE), "No Order Found")</f>
        <v>No Order Found</v>
      </c>
      <c r="K49" s="12" t="str">
        <f t="shared" si="3"/>
        <v>#N/A</v>
      </c>
      <c r="L49" s="43">
        <v>48.0</v>
      </c>
      <c r="M49" s="29" t="s">
        <v>1076</v>
      </c>
      <c r="N49" s="29" t="s">
        <v>1103</v>
      </c>
    </row>
    <row r="50" ht="14.25" customHeight="1">
      <c r="A50" s="44" t="str">
        <f>Orders!A13</f>
        <v/>
      </c>
      <c r="B50" s="44" t="str">
        <f>Orders!B13</f>
        <v/>
      </c>
      <c r="C50" s="43" t="str">
        <f>IFERROR(VLOOKUP(B50, Routes!B:G, 6, FALSE), "")</f>
        <v/>
      </c>
      <c r="D50" s="43" t="str">
        <f>VLOOKUP(A50, Orders!A:O, 5, FALSE)</f>
        <v>#N/A</v>
      </c>
      <c r="E50" s="29" t="str">
        <f>VLOOKUP(A50, Orders!A:O, 4, FALSE)</f>
        <v>#N/A</v>
      </c>
      <c r="F50" s="44" t="str">
        <f>IFERROR(VLOOKUP(B50, DataBase!A:O, 5, FALSE), "No Order Found")</f>
        <v>No Order Found</v>
      </c>
      <c r="G50" s="44" t="str">
        <f>IFERROR(VLOOKUP(B50, DataBase!A:O, 6, FALSE), "No Order Found")</f>
        <v>No Order Found</v>
      </c>
      <c r="H50" s="44" t="str">
        <f>IFERROR(VLOOKUP(B50, DataBase!A:O, 7, FALSE), "No Order Found")</f>
        <v>No Order Found</v>
      </c>
      <c r="I50" s="43" t="s">
        <v>1318</v>
      </c>
      <c r="J50" s="44" t="str">
        <f>IFERROR(VLOOKUP(A50, Orders!A:O, 3, FALSE), "No Order Found")</f>
        <v>No Order Found</v>
      </c>
      <c r="K50" s="12" t="str">
        <f t="shared" si="3"/>
        <v>#N/A</v>
      </c>
      <c r="L50" s="43">
        <v>49.0</v>
      </c>
      <c r="M50" s="29" t="s">
        <v>423</v>
      </c>
      <c r="N50" s="29" t="s">
        <v>922</v>
      </c>
    </row>
    <row r="51" ht="14.25" customHeight="1">
      <c r="A51" s="44" t="str">
        <f>Orders!A14</f>
        <v/>
      </c>
      <c r="B51" s="44" t="str">
        <f>Orders!B14</f>
        <v/>
      </c>
      <c r="E51" s="42"/>
      <c r="M51" s="42"/>
      <c r="N51" s="42"/>
    </row>
    <row r="52" ht="14.25" customHeight="1">
      <c r="A52" s="44" t="str">
        <f>Orders!A15</f>
        <v/>
      </c>
      <c r="B52" s="44" t="str">
        <f>Orders!B15</f>
        <v/>
      </c>
      <c r="E52" s="42"/>
      <c r="M52" s="42"/>
      <c r="N52" s="42"/>
    </row>
    <row r="53" ht="14.25" customHeight="1">
      <c r="A53" s="44" t="str">
        <f>Orders!A16</f>
        <v/>
      </c>
      <c r="B53" s="44" t="str">
        <f>Orders!B16</f>
        <v/>
      </c>
      <c r="E53" s="42"/>
      <c r="M53" s="42"/>
      <c r="N53" s="42"/>
    </row>
    <row r="54" ht="14.25" customHeight="1">
      <c r="A54" s="44" t="str">
        <f>Orders!A17</f>
        <v/>
      </c>
      <c r="B54" s="44" t="str">
        <f>Orders!B17</f>
        <v/>
      </c>
      <c r="E54" s="42"/>
      <c r="M54" s="42"/>
      <c r="N54" s="42"/>
    </row>
    <row r="55" ht="14.25" customHeight="1">
      <c r="A55" s="44" t="str">
        <f>Orders!A18</f>
        <v/>
      </c>
      <c r="B55" s="44" t="str">
        <f>Orders!B18</f>
        <v/>
      </c>
      <c r="E55" s="42"/>
      <c r="M55" s="42"/>
      <c r="N55" s="42"/>
    </row>
    <row r="56" ht="14.25" customHeight="1">
      <c r="A56" s="44" t="str">
        <f>Orders!A19</f>
        <v/>
      </c>
      <c r="B56" s="44" t="str">
        <f>Orders!B19</f>
        <v/>
      </c>
      <c r="E56" s="42"/>
      <c r="M56" s="42"/>
      <c r="N56" s="42"/>
    </row>
    <row r="57" ht="14.25" customHeight="1">
      <c r="A57" s="44" t="str">
        <f>Orders!A20</f>
        <v/>
      </c>
      <c r="B57" s="44" t="str">
        <f>Orders!B20</f>
        <v/>
      </c>
      <c r="E57" s="42"/>
      <c r="M57" s="42"/>
      <c r="N57" s="42"/>
    </row>
    <row r="58" ht="14.25" customHeight="1">
      <c r="A58" s="44" t="str">
        <f>Orders!A21</f>
        <v/>
      </c>
      <c r="B58" s="44" t="str">
        <f>Orders!B21</f>
        <v/>
      </c>
      <c r="E58" s="42"/>
      <c r="M58" s="42"/>
      <c r="N58" s="42"/>
    </row>
    <row r="59" ht="14.25" customHeight="1">
      <c r="A59" s="44" t="str">
        <f>Orders!A22</f>
        <v/>
      </c>
      <c r="B59" s="44" t="str">
        <f>Orders!B22</f>
        <v/>
      </c>
      <c r="E59" s="42"/>
      <c r="M59" s="42"/>
      <c r="N59" s="42"/>
    </row>
    <row r="60" ht="14.25" customHeight="1">
      <c r="A60" s="44" t="str">
        <f>Orders!A23</f>
        <v/>
      </c>
      <c r="B60" s="44" t="str">
        <f>Orders!B23</f>
        <v/>
      </c>
      <c r="E60" s="42"/>
      <c r="M60" s="42"/>
      <c r="N60" s="42"/>
    </row>
    <row r="61" ht="14.25" customHeight="1">
      <c r="A61" s="44" t="str">
        <f>Orders!A24</f>
        <v/>
      </c>
      <c r="B61" s="44" t="str">
        <f>Orders!B24</f>
        <v/>
      </c>
      <c r="E61" s="42"/>
      <c r="M61" s="42"/>
      <c r="N61" s="42"/>
    </row>
    <row r="62" ht="14.25" customHeight="1">
      <c r="A62" s="44" t="str">
        <f>Orders!A25</f>
        <v/>
      </c>
      <c r="B62" s="44" t="str">
        <f>Orders!B25</f>
        <v/>
      </c>
      <c r="E62" s="42"/>
      <c r="M62" s="42"/>
      <c r="N62" s="42"/>
    </row>
    <row r="63" ht="14.25" customHeight="1">
      <c r="A63" s="44" t="str">
        <f>Orders!A26</f>
        <v/>
      </c>
      <c r="B63" s="44" t="str">
        <f>Orders!B26</f>
        <v/>
      </c>
      <c r="E63" s="42"/>
      <c r="M63" s="42"/>
      <c r="N63" s="42"/>
    </row>
    <row r="64" ht="14.25" customHeight="1">
      <c r="A64" s="44" t="str">
        <f>Orders!A27</f>
        <v/>
      </c>
      <c r="B64" s="44" t="str">
        <f>Orders!B27</f>
        <v/>
      </c>
      <c r="E64" s="42"/>
      <c r="M64" s="42"/>
      <c r="N64" s="42"/>
    </row>
    <row r="65" ht="14.25" customHeight="1">
      <c r="A65" s="44" t="str">
        <f>Orders!A28</f>
        <v/>
      </c>
      <c r="B65" s="44" t="str">
        <f>Orders!B28</f>
        <v/>
      </c>
      <c r="E65" s="42"/>
      <c r="M65" s="42"/>
      <c r="N65" s="42"/>
    </row>
    <row r="66" ht="14.25" customHeight="1">
      <c r="A66" s="44" t="str">
        <f>Orders!A29</f>
        <v/>
      </c>
      <c r="B66" s="44" t="str">
        <f>Orders!B29</f>
        <v/>
      </c>
      <c r="E66" s="42"/>
      <c r="M66" s="42"/>
      <c r="N66" s="42"/>
    </row>
    <row r="67" ht="14.25" customHeight="1">
      <c r="A67" s="44" t="str">
        <f>Orders!A30</f>
        <v/>
      </c>
      <c r="B67" s="44" t="str">
        <f>Orders!B30</f>
        <v/>
      </c>
      <c r="E67" s="42"/>
      <c r="M67" s="42"/>
      <c r="N67" s="42"/>
    </row>
    <row r="68" ht="14.25" customHeight="1">
      <c r="A68" s="44" t="str">
        <f>Orders!A31</f>
        <v/>
      </c>
      <c r="B68" s="44" t="str">
        <f>Orders!B31</f>
        <v/>
      </c>
      <c r="E68" s="42"/>
      <c r="M68" s="42"/>
      <c r="N68" s="42"/>
    </row>
    <row r="69" ht="14.25" customHeight="1">
      <c r="A69" s="44" t="str">
        <f>Orders!A32</f>
        <v/>
      </c>
      <c r="B69" s="44" t="str">
        <f>Orders!B32</f>
        <v/>
      </c>
      <c r="E69" s="42"/>
      <c r="M69" s="42"/>
      <c r="N69" s="42"/>
    </row>
    <row r="70" ht="14.25" customHeight="1">
      <c r="A70" s="44" t="str">
        <f>Orders!A33</f>
        <v/>
      </c>
      <c r="B70" s="44" t="str">
        <f>Orders!B33</f>
        <v/>
      </c>
      <c r="E70" s="42"/>
      <c r="M70" s="42"/>
      <c r="N70" s="42"/>
    </row>
    <row r="71" ht="14.25" customHeight="1">
      <c r="A71" s="44" t="str">
        <f>Orders!A34</f>
        <v/>
      </c>
      <c r="B71" s="44" t="str">
        <f>Orders!B34</f>
        <v/>
      </c>
      <c r="E71" s="42"/>
      <c r="M71" s="42"/>
      <c r="N71" s="42"/>
    </row>
    <row r="72" ht="14.25" customHeight="1">
      <c r="A72" s="44" t="str">
        <f>Orders!A35</f>
        <v/>
      </c>
      <c r="B72" s="44" t="str">
        <f>Orders!B35</f>
        <v/>
      </c>
      <c r="E72" s="42"/>
      <c r="M72" s="42"/>
      <c r="N72" s="42"/>
    </row>
    <row r="73" ht="14.25" customHeight="1">
      <c r="A73" s="44" t="str">
        <f>Orders!A37</f>
        <v/>
      </c>
      <c r="B73" s="44" t="str">
        <f>Orders!B37</f>
        <v/>
      </c>
      <c r="E73" s="42"/>
      <c r="M73" s="42"/>
      <c r="N73" s="42"/>
    </row>
    <row r="74" ht="14.25" customHeight="1">
      <c r="A74" s="44" t="str">
        <f>Orders!A38</f>
        <v/>
      </c>
      <c r="B74" s="44" t="str">
        <f>Orders!B38</f>
        <v/>
      </c>
      <c r="E74" s="42"/>
      <c r="M74" s="42"/>
      <c r="N74" s="42"/>
    </row>
    <row r="75" ht="14.25" customHeight="1">
      <c r="A75" s="44" t="str">
        <f>Orders!A39</f>
        <v/>
      </c>
      <c r="B75" s="44" t="str">
        <f>Orders!B39</f>
        <v/>
      </c>
      <c r="E75" s="42"/>
      <c r="M75" s="42"/>
      <c r="N75" s="42"/>
    </row>
    <row r="76" ht="14.25" customHeight="1">
      <c r="A76" s="44" t="str">
        <f>Orders!A40</f>
        <v/>
      </c>
      <c r="B76" s="44" t="str">
        <f>Orders!B40</f>
        <v/>
      </c>
      <c r="E76" s="42"/>
      <c r="M76" s="42"/>
      <c r="N76" s="42"/>
    </row>
    <row r="77" ht="14.25" customHeight="1">
      <c r="A77" s="44" t="str">
        <f>Orders!A41</f>
        <v/>
      </c>
      <c r="B77" s="44" t="str">
        <f>Orders!B41</f>
        <v/>
      </c>
      <c r="E77" s="42"/>
      <c r="M77" s="42"/>
      <c r="N77" s="42"/>
    </row>
    <row r="78" ht="14.25" customHeight="1">
      <c r="A78" s="44" t="str">
        <f>Orders!A42</f>
        <v/>
      </c>
      <c r="B78" s="44" t="str">
        <f>Orders!B42</f>
        <v/>
      </c>
      <c r="E78" s="42"/>
      <c r="M78" s="42"/>
      <c r="N78" s="42"/>
    </row>
    <row r="79" ht="14.25" customHeight="1">
      <c r="A79" s="44" t="str">
        <f>Orders!A43</f>
        <v/>
      </c>
      <c r="B79" s="44" t="str">
        <f>Orders!B43</f>
        <v/>
      </c>
      <c r="E79" s="42"/>
      <c r="M79" s="42"/>
      <c r="N79" s="42"/>
    </row>
    <row r="80" ht="14.25" customHeight="1">
      <c r="A80" s="44" t="str">
        <f>Orders!A44</f>
        <v/>
      </c>
      <c r="B80" s="44" t="str">
        <f>Orders!B44</f>
        <v/>
      </c>
      <c r="E80" s="42"/>
      <c r="M80" s="42"/>
      <c r="N80" s="42"/>
    </row>
    <row r="81" ht="14.25" customHeight="1">
      <c r="A81" s="44" t="str">
        <f>Orders!A45</f>
        <v/>
      </c>
      <c r="B81" s="44" t="str">
        <f>Orders!B45</f>
        <v/>
      </c>
      <c r="E81" s="42"/>
      <c r="M81" s="42"/>
      <c r="N81" s="42"/>
    </row>
    <row r="82" ht="14.25" customHeight="1">
      <c r="A82" s="44" t="str">
        <f>Orders!A46</f>
        <v/>
      </c>
      <c r="B82" s="44" t="str">
        <f>Orders!B46</f>
        <v/>
      </c>
      <c r="E82" s="42"/>
      <c r="M82" s="42"/>
      <c r="N82" s="42"/>
    </row>
    <row r="83" ht="14.25" customHeight="1">
      <c r="A83" s="44" t="str">
        <f>Orders!A47</f>
        <v/>
      </c>
      <c r="B83" s="44" t="str">
        <f>Orders!B47</f>
        <v/>
      </c>
      <c r="E83" s="42"/>
      <c r="M83" s="42"/>
      <c r="N83" s="42"/>
    </row>
    <row r="84" ht="14.25" customHeight="1">
      <c r="A84" s="44" t="str">
        <f>Orders!A48</f>
        <v/>
      </c>
      <c r="B84" s="44" t="str">
        <f>Orders!B48</f>
        <v/>
      </c>
      <c r="E84" s="42"/>
      <c r="M84" s="42"/>
      <c r="N84" s="42"/>
    </row>
    <row r="85" ht="14.25" customHeight="1">
      <c r="A85" s="44" t="str">
        <f>Orders!A49</f>
        <v/>
      </c>
      <c r="B85" s="44" t="str">
        <f>Orders!B49</f>
        <v/>
      </c>
      <c r="E85" s="42"/>
      <c r="M85" s="42"/>
      <c r="N85" s="42"/>
    </row>
    <row r="86" ht="14.25" customHeight="1">
      <c r="A86" s="44" t="str">
        <f>Orders!A50</f>
        <v/>
      </c>
      <c r="B86" s="44" t="str">
        <f>Orders!B50</f>
        <v/>
      </c>
      <c r="E86" s="42"/>
      <c r="M86" s="42"/>
      <c r="N86" s="42"/>
    </row>
    <row r="87" ht="14.25" customHeight="1">
      <c r="A87" s="44" t="str">
        <f>Orders!A51</f>
        <v/>
      </c>
      <c r="B87" s="44" t="str">
        <f>Orders!B51</f>
        <v/>
      </c>
      <c r="E87" s="42"/>
      <c r="M87" s="42"/>
      <c r="N87" s="42"/>
    </row>
    <row r="88" ht="14.25" customHeight="1">
      <c r="A88" s="44" t="str">
        <f>Orders!A52</f>
        <v/>
      </c>
      <c r="B88" s="44" t="str">
        <f>Orders!B52</f>
        <v/>
      </c>
      <c r="E88" s="42"/>
      <c r="M88" s="42"/>
      <c r="N88" s="42"/>
    </row>
    <row r="89" ht="14.25" customHeight="1">
      <c r="A89" s="44" t="str">
        <f>Orders!A53</f>
        <v/>
      </c>
      <c r="B89" s="44" t="str">
        <f>Orders!B53</f>
        <v/>
      </c>
      <c r="E89" s="42"/>
      <c r="M89" s="42"/>
      <c r="N89" s="42"/>
    </row>
    <row r="90" ht="14.25" customHeight="1">
      <c r="A90" s="44" t="str">
        <f>Orders!A54</f>
        <v/>
      </c>
      <c r="B90" s="44" t="str">
        <f>Orders!B54</f>
        <v/>
      </c>
      <c r="E90" s="42"/>
      <c r="M90" s="42"/>
      <c r="N90" s="42"/>
    </row>
    <row r="91" ht="14.25" customHeight="1">
      <c r="A91" s="44" t="str">
        <f>Orders!A55</f>
        <v/>
      </c>
      <c r="B91" s="44" t="str">
        <f>Orders!B55</f>
        <v/>
      </c>
      <c r="E91" s="42"/>
      <c r="M91" s="42"/>
      <c r="N91" s="42"/>
    </row>
    <row r="92" ht="14.25" customHeight="1">
      <c r="A92" s="44" t="str">
        <f>Orders!A54</f>
        <v/>
      </c>
      <c r="B92" s="44" t="str">
        <f>Orders!B54</f>
        <v/>
      </c>
      <c r="E92" s="42"/>
      <c r="M92" s="42"/>
      <c r="N92" s="42"/>
    </row>
    <row r="93" ht="14.25" customHeight="1">
      <c r="A93" s="44" t="str">
        <f>Orders!A55</f>
        <v/>
      </c>
      <c r="B93" s="44" t="str">
        <f>Orders!B55</f>
        <v/>
      </c>
      <c r="E93" s="42"/>
      <c r="M93" s="42"/>
      <c r="N93" s="42"/>
    </row>
    <row r="94" ht="14.25" customHeight="1">
      <c r="A94" s="44" t="str">
        <f>Orders!A7</f>
        <v/>
      </c>
      <c r="B94" s="44" t="str">
        <f>Orders!B7</f>
        <v/>
      </c>
      <c r="E94" s="42"/>
      <c r="M94" s="42"/>
      <c r="N94" s="42"/>
    </row>
    <row r="95" ht="14.25" customHeight="1">
      <c r="A95" s="44" t="str">
        <f>Orders!A8</f>
        <v/>
      </c>
      <c r="B95" s="44" t="str">
        <f>Orders!B8</f>
        <v/>
      </c>
      <c r="E95" s="42"/>
      <c r="M95" s="42"/>
      <c r="N95" s="42"/>
    </row>
    <row r="96" ht="14.25" customHeight="1">
      <c r="A96" s="44" t="str">
        <f>Orders!A9</f>
        <v/>
      </c>
      <c r="B96" s="44" t="str">
        <f>Orders!B9</f>
        <v/>
      </c>
      <c r="E96" s="42"/>
      <c r="M96" s="42"/>
      <c r="N96" s="42"/>
    </row>
    <row r="97" ht="14.25" customHeight="1">
      <c r="A97" s="44" t="str">
        <f>Orders!A10</f>
        <v/>
      </c>
      <c r="B97" s="44" t="str">
        <f>Orders!B10</f>
        <v/>
      </c>
      <c r="E97" s="42"/>
      <c r="M97" s="42"/>
      <c r="N97" s="42"/>
    </row>
    <row r="98" ht="14.25" customHeight="1">
      <c r="A98" s="44" t="str">
        <f>Orders!A11</f>
        <v/>
      </c>
      <c r="B98" s="44" t="str">
        <f>Orders!B11</f>
        <v/>
      </c>
      <c r="E98" s="42"/>
      <c r="M98" s="42"/>
      <c r="N98" s="42"/>
    </row>
    <row r="99" ht="14.25" customHeight="1">
      <c r="A99" s="44" t="str">
        <f>Orders!A12</f>
        <v/>
      </c>
      <c r="B99" s="44" t="str">
        <f>Orders!B12</f>
        <v/>
      </c>
      <c r="E99" s="42"/>
      <c r="M99" s="42"/>
      <c r="N99" s="42"/>
    </row>
    <row r="100" ht="14.25" customHeight="1">
      <c r="A100" s="44" t="str">
        <f>Orders!A13</f>
        <v/>
      </c>
      <c r="B100" s="44" t="str">
        <f>Orders!B13</f>
        <v/>
      </c>
      <c r="E100" s="42"/>
      <c r="M100" s="42"/>
      <c r="N100" s="42"/>
    </row>
    <row r="101" ht="14.25" customHeight="1">
      <c r="A101" s="44" t="str">
        <f>Orders!A14</f>
        <v/>
      </c>
      <c r="B101" s="44" t="str">
        <f>Orders!B14</f>
        <v/>
      </c>
      <c r="E101" s="42"/>
      <c r="M101" s="42"/>
      <c r="N101" s="42"/>
    </row>
    <row r="102" ht="14.25" customHeight="1">
      <c r="A102" s="44" t="str">
        <f>Orders!A15</f>
        <v/>
      </c>
      <c r="B102" s="44" t="str">
        <f>Orders!B15</f>
        <v/>
      </c>
      <c r="E102" s="42"/>
      <c r="M102" s="42"/>
      <c r="N102" s="42"/>
    </row>
    <row r="103" ht="14.25" customHeight="1">
      <c r="A103" s="44" t="str">
        <f>Orders!A16</f>
        <v/>
      </c>
      <c r="B103" s="44" t="str">
        <f>Orders!B16</f>
        <v/>
      </c>
      <c r="E103" s="42"/>
      <c r="M103" s="42"/>
      <c r="N103" s="42"/>
    </row>
    <row r="104" ht="14.25" customHeight="1">
      <c r="A104" s="44" t="str">
        <f>Orders!A17</f>
        <v/>
      </c>
      <c r="B104" s="44" t="str">
        <f>Orders!B17</f>
        <v/>
      </c>
      <c r="E104" s="42"/>
      <c r="M104" s="42"/>
      <c r="N104" s="42"/>
    </row>
    <row r="105" ht="14.25" customHeight="1">
      <c r="A105" s="44" t="str">
        <f>Orders!A18</f>
        <v/>
      </c>
      <c r="B105" s="44" t="str">
        <f>Orders!B18</f>
        <v/>
      </c>
      <c r="E105" s="42"/>
      <c r="M105" s="42"/>
      <c r="N105" s="42"/>
    </row>
    <row r="106" ht="14.25" customHeight="1">
      <c r="A106" s="44" t="str">
        <f>Orders!A19</f>
        <v/>
      </c>
      <c r="B106" s="44" t="str">
        <f>Orders!B19</f>
        <v/>
      </c>
      <c r="E106" s="42"/>
      <c r="M106" s="42"/>
      <c r="N106" s="42"/>
    </row>
    <row r="107" ht="14.25" customHeight="1">
      <c r="A107" s="44" t="str">
        <f>Orders!A20</f>
        <v/>
      </c>
      <c r="B107" s="44" t="str">
        <f>Orders!B20</f>
        <v/>
      </c>
      <c r="E107" s="42"/>
      <c r="M107" s="42"/>
      <c r="N107" s="42"/>
    </row>
    <row r="108" ht="14.25" customHeight="1">
      <c r="A108" s="44" t="str">
        <f>Orders!A21</f>
        <v/>
      </c>
      <c r="B108" s="44" t="str">
        <f>Orders!B21</f>
        <v/>
      </c>
      <c r="E108" s="42"/>
      <c r="M108" s="42"/>
      <c r="N108" s="42"/>
    </row>
    <row r="109" ht="14.25" customHeight="1">
      <c r="A109" s="44" t="str">
        <f>Orders!A22</f>
        <v/>
      </c>
      <c r="B109" s="44" t="str">
        <f>Orders!B22</f>
        <v/>
      </c>
      <c r="E109" s="42"/>
      <c r="M109" s="42"/>
      <c r="N109" s="42"/>
    </row>
    <row r="110" ht="14.25" customHeight="1">
      <c r="A110" s="44" t="str">
        <f>Orders!A23</f>
        <v/>
      </c>
      <c r="B110" s="44" t="str">
        <f>Orders!B23</f>
        <v/>
      </c>
      <c r="E110" s="42"/>
      <c r="M110" s="42"/>
      <c r="N110" s="42"/>
    </row>
    <row r="111" ht="14.25" customHeight="1">
      <c r="A111" s="44" t="str">
        <f>Orders!A24</f>
        <v/>
      </c>
      <c r="B111" s="44" t="str">
        <f>Orders!B24</f>
        <v/>
      </c>
      <c r="E111" s="42"/>
      <c r="M111" s="42"/>
      <c r="N111" s="42"/>
    </row>
    <row r="112" ht="14.25" customHeight="1">
      <c r="A112" s="44" t="str">
        <f>Orders!A25</f>
        <v/>
      </c>
      <c r="B112" s="44" t="str">
        <f>Orders!B25</f>
        <v/>
      </c>
      <c r="E112" s="42"/>
      <c r="M112" s="42"/>
      <c r="N112" s="42"/>
    </row>
    <row r="113" ht="14.25" customHeight="1">
      <c r="A113" s="44" t="str">
        <f>Orders!A26</f>
        <v/>
      </c>
      <c r="B113" s="44" t="str">
        <f>Orders!B26</f>
        <v/>
      </c>
      <c r="E113" s="42"/>
      <c r="M113" s="42"/>
      <c r="N113" s="42"/>
    </row>
    <row r="114" ht="14.25" customHeight="1">
      <c r="A114" s="44" t="str">
        <f>Orders!A27</f>
        <v/>
      </c>
      <c r="B114" s="44" t="str">
        <f>Orders!B27</f>
        <v/>
      </c>
      <c r="E114" s="42"/>
      <c r="M114" s="42"/>
      <c r="N114" s="42"/>
    </row>
    <row r="115" ht="14.25" customHeight="1">
      <c r="A115" s="44" t="str">
        <f>Orders!A28</f>
        <v/>
      </c>
      <c r="B115" s="44" t="str">
        <f>Orders!B28</f>
        <v/>
      </c>
      <c r="E115" s="42"/>
      <c r="M115" s="42"/>
      <c r="N115" s="42"/>
    </row>
    <row r="116" ht="14.25" customHeight="1">
      <c r="A116" s="44" t="str">
        <f>Orders!A29</f>
        <v/>
      </c>
      <c r="B116" s="44" t="str">
        <f>Orders!B29</f>
        <v/>
      </c>
      <c r="E116" s="42"/>
      <c r="M116" s="42"/>
      <c r="N116" s="42"/>
    </row>
    <row r="117" ht="14.25" customHeight="1">
      <c r="A117" s="44" t="str">
        <f>Orders!A30</f>
        <v/>
      </c>
      <c r="B117" s="44" t="str">
        <f>Orders!B30</f>
        <v/>
      </c>
      <c r="E117" s="42"/>
      <c r="M117" s="42"/>
      <c r="N117" s="42"/>
    </row>
    <row r="118" ht="14.25" customHeight="1">
      <c r="A118" s="44" t="str">
        <f>Orders!A31</f>
        <v/>
      </c>
      <c r="B118" s="44" t="str">
        <f>Orders!B31</f>
        <v/>
      </c>
      <c r="E118" s="42"/>
      <c r="M118" s="42"/>
      <c r="N118" s="42"/>
    </row>
    <row r="119" ht="14.25" customHeight="1">
      <c r="A119" s="44" t="str">
        <f>Orders!A32</f>
        <v/>
      </c>
      <c r="B119" s="44" t="str">
        <f>Orders!B32</f>
        <v/>
      </c>
      <c r="E119" s="42"/>
      <c r="M119" s="42"/>
      <c r="N119" s="42"/>
    </row>
    <row r="120" ht="14.25" customHeight="1">
      <c r="A120" s="44" t="str">
        <f>Orders!A33</f>
        <v/>
      </c>
      <c r="B120" s="44" t="str">
        <f>Orders!B33</f>
        <v/>
      </c>
      <c r="E120" s="42"/>
      <c r="M120" s="42"/>
      <c r="N120" s="42"/>
    </row>
    <row r="121" ht="14.25" customHeight="1">
      <c r="A121" s="44" t="str">
        <f>Orders!A34</f>
        <v/>
      </c>
      <c r="B121" s="44" t="str">
        <f>Orders!B34</f>
        <v/>
      </c>
      <c r="E121" s="42"/>
      <c r="M121" s="42"/>
      <c r="N121" s="42"/>
    </row>
    <row r="122" ht="14.25" customHeight="1">
      <c r="A122" s="44" t="str">
        <f>Orders!A35</f>
        <v/>
      </c>
      <c r="B122" s="44" t="str">
        <f>Orders!B35</f>
        <v/>
      </c>
      <c r="E122" s="42"/>
      <c r="M122" s="42"/>
      <c r="N122" s="42"/>
    </row>
    <row r="123" ht="14.25" customHeight="1">
      <c r="A123" s="44" t="str">
        <f>Orders!A36</f>
        <v/>
      </c>
      <c r="B123" s="44" t="str">
        <f>Orders!B36</f>
        <v/>
      </c>
      <c r="E123" s="42"/>
      <c r="M123" s="42"/>
      <c r="N123" s="42"/>
    </row>
    <row r="124" ht="14.25" customHeight="1">
      <c r="E124" s="42"/>
      <c r="M124" s="42"/>
      <c r="N124" s="42"/>
    </row>
    <row r="125" ht="14.25" customHeight="1">
      <c r="E125" s="42"/>
      <c r="M125" s="42"/>
      <c r="N125" s="42"/>
    </row>
    <row r="126" ht="14.25" customHeight="1">
      <c r="E126" s="42"/>
      <c r="M126" s="42"/>
      <c r="N126" s="42"/>
    </row>
    <row r="127" ht="14.25" customHeight="1">
      <c r="E127" s="42"/>
      <c r="M127" s="42"/>
      <c r="N127" s="42"/>
    </row>
    <row r="128" ht="14.25" customHeight="1">
      <c r="E128" s="42"/>
      <c r="M128" s="42"/>
      <c r="N128" s="42"/>
    </row>
    <row r="129" ht="14.25" customHeight="1">
      <c r="E129" s="42"/>
      <c r="M129" s="42"/>
      <c r="N129" s="42"/>
    </row>
    <row r="130" ht="14.25" customHeight="1">
      <c r="E130" s="42"/>
      <c r="M130" s="42"/>
      <c r="N130" s="42"/>
    </row>
    <row r="131" ht="14.25" customHeight="1">
      <c r="E131" s="42"/>
      <c r="M131" s="42"/>
      <c r="N131" s="42"/>
    </row>
    <row r="132" ht="14.25" customHeight="1">
      <c r="E132" s="42"/>
      <c r="M132" s="42"/>
      <c r="N132" s="42"/>
    </row>
    <row r="133" ht="14.25" customHeight="1">
      <c r="E133" s="42"/>
      <c r="M133" s="42"/>
      <c r="N133" s="42"/>
    </row>
    <row r="134" ht="14.25" customHeight="1">
      <c r="E134" s="42"/>
      <c r="M134" s="42"/>
      <c r="N134" s="42"/>
    </row>
    <row r="135" ht="14.25" customHeight="1">
      <c r="E135" s="42"/>
      <c r="M135" s="42"/>
      <c r="N135" s="42"/>
    </row>
    <row r="136" ht="14.25" customHeight="1">
      <c r="E136" s="42"/>
      <c r="M136" s="42"/>
      <c r="N136" s="42"/>
    </row>
    <row r="137" ht="14.25" customHeight="1">
      <c r="E137" s="42"/>
      <c r="M137" s="42"/>
      <c r="N137" s="42"/>
    </row>
    <row r="138" ht="14.25" customHeight="1">
      <c r="E138" s="42"/>
      <c r="M138" s="42"/>
      <c r="N138" s="42"/>
    </row>
    <row r="139" ht="14.25" customHeight="1">
      <c r="E139" s="42"/>
      <c r="M139" s="42"/>
      <c r="N139" s="42"/>
    </row>
    <row r="140" ht="14.25" customHeight="1">
      <c r="E140" s="42"/>
      <c r="M140" s="42"/>
      <c r="N140" s="42"/>
    </row>
    <row r="141" ht="14.25" customHeight="1">
      <c r="E141" s="42"/>
      <c r="M141" s="42"/>
      <c r="N141" s="42"/>
    </row>
    <row r="142" ht="14.25" customHeight="1">
      <c r="E142" s="42"/>
      <c r="M142" s="42"/>
      <c r="N142" s="42"/>
    </row>
    <row r="143" ht="14.25" customHeight="1">
      <c r="E143" s="42"/>
      <c r="M143" s="42"/>
      <c r="N143" s="42"/>
    </row>
    <row r="144" ht="14.25" customHeight="1">
      <c r="E144" s="42"/>
      <c r="M144" s="42"/>
      <c r="N144" s="42"/>
    </row>
    <row r="145" ht="14.25" customHeight="1">
      <c r="E145" s="42"/>
      <c r="M145" s="42"/>
      <c r="N145" s="42"/>
    </row>
    <row r="146" ht="14.25" customHeight="1">
      <c r="E146" s="42"/>
      <c r="M146" s="42"/>
      <c r="N146" s="42"/>
    </row>
    <row r="147" ht="14.25" customHeight="1">
      <c r="E147" s="42"/>
      <c r="M147" s="42"/>
      <c r="N147" s="42"/>
    </row>
    <row r="148" ht="14.25" customHeight="1">
      <c r="E148" s="42"/>
      <c r="M148" s="42"/>
      <c r="N148" s="42"/>
    </row>
    <row r="149" ht="14.25" customHeight="1">
      <c r="E149" s="42"/>
      <c r="M149" s="42"/>
      <c r="N149" s="42"/>
    </row>
    <row r="150" ht="14.25" customHeight="1">
      <c r="E150" s="42"/>
      <c r="M150" s="42"/>
      <c r="N150" s="42"/>
    </row>
    <row r="151" ht="14.25" customHeight="1">
      <c r="E151" s="42"/>
      <c r="M151" s="42"/>
      <c r="N151" s="42"/>
    </row>
    <row r="152" ht="14.25" customHeight="1">
      <c r="E152" s="42"/>
      <c r="M152" s="42"/>
      <c r="N152" s="42"/>
    </row>
    <row r="153" ht="14.25" customHeight="1">
      <c r="E153" s="42"/>
      <c r="M153" s="42"/>
      <c r="N153" s="42"/>
    </row>
    <row r="154" ht="14.25" customHeight="1">
      <c r="E154" s="42"/>
      <c r="M154" s="42"/>
      <c r="N154" s="42"/>
    </row>
    <row r="155" ht="14.25" customHeight="1">
      <c r="E155" s="42"/>
      <c r="M155" s="42"/>
      <c r="N155" s="42"/>
    </row>
    <row r="156" ht="14.25" customHeight="1">
      <c r="E156" s="42"/>
      <c r="M156" s="42"/>
      <c r="N156" s="42"/>
    </row>
    <row r="157" ht="14.25" customHeight="1">
      <c r="E157" s="42"/>
      <c r="M157" s="42"/>
      <c r="N157" s="42"/>
    </row>
    <row r="158" ht="14.25" customHeight="1">
      <c r="E158" s="42"/>
      <c r="M158" s="42"/>
      <c r="N158" s="42"/>
    </row>
    <row r="159" ht="14.25" customHeight="1">
      <c r="E159" s="42"/>
      <c r="M159" s="42"/>
      <c r="N159" s="42"/>
    </row>
    <row r="160" ht="14.25" customHeight="1">
      <c r="E160" s="42"/>
      <c r="M160" s="42"/>
      <c r="N160" s="42"/>
    </row>
    <row r="161" ht="14.25" customHeight="1">
      <c r="E161" s="42"/>
      <c r="M161" s="42"/>
      <c r="N161" s="42"/>
    </row>
    <row r="162" ht="14.25" customHeight="1">
      <c r="E162" s="42"/>
      <c r="M162" s="42"/>
      <c r="N162" s="42"/>
    </row>
    <row r="163" ht="14.25" customHeight="1">
      <c r="E163" s="42"/>
      <c r="M163" s="42"/>
      <c r="N163" s="42"/>
    </row>
    <row r="164" ht="14.25" customHeight="1">
      <c r="E164" s="42"/>
      <c r="M164" s="42"/>
      <c r="N164" s="42"/>
    </row>
    <row r="165" ht="14.25" customHeight="1">
      <c r="E165" s="42"/>
      <c r="M165" s="42"/>
      <c r="N165" s="42"/>
    </row>
    <row r="166" ht="14.25" customHeight="1">
      <c r="E166" s="42"/>
      <c r="M166" s="42"/>
      <c r="N166" s="42"/>
    </row>
    <row r="167" ht="14.25" customHeight="1">
      <c r="E167" s="42"/>
      <c r="M167" s="42"/>
      <c r="N167" s="42"/>
    </row>
    <row r="168" ht="14.25" customHeight="1">
      <c r="E168" s="42"/>
      <c r="M168" s="42"/>
      <c r="N168" s="42"/>
    </row>
    <row r="169" ht="14.25" customHeight="1">
      <c r="E169" s="42"/>
      <c r="M169" s="42"/>
      <c r="N169" s="42"/>
    </row>
    <row r="170" ht="14.25" customHeight="1">
      <c r="E170" s="42"/>
      <c r="M170" s="42"/>
      <c r="N170" s="42"/>
    </row>
    <row r="171" ht="14.25" customHeight="1">
      <c r="E171" s="42"/>
      <c r="M171" s="42"/>
      <c r="N171" s="42"/>
    </row>
    <row r="172" ht="14.25" customHeight="1">
      <c r="E172" s="42"/>
      <c r="M172" s="42"/>
      <c r="N172" s="42"/>
    </row>
    <row r="173" ht="14.25" customHeight="1">
      <c r="E173" s="42"/>
      <c r="M173" s="42"/>
      <c r="N173" s="42"/>
    </row>
    <row r="174" ht="14.25" customHeight="1">
      <c r="E174" s="42"/>
      <c r="M174" s="42"/>
      <c r="N174" s="42"/>
    </row>
    <row r="175" ht="14.25" customHeight="1">
      <c r="E175" s="42"/>
      <c r="M175" s="42"/>
      <c r="N175" s="42"/>
    </row>
    <row r="176" ht="14.25" customHeight="1">
      <c r="E176" s="42"/>
      <c r="M176" s="42"/>
      <c r="N176" s="42"/>
    </row>
    <row r="177" ht="14.25" customHeight="1">
      <c r="E177" s="42"/>
      <c r="M177" s="42"/>
      <c r="N177" s="42"/>
    </row>
    <row r="178" ht="14.25" customHeight="1">
      <c r="E178" s="42"/>
      <c r="M178" s="42"/>
      <c r="N178" s="42"/>
    </row>
    <row r="179" ht="14.25" customHeight="1">
      <c r="E179" s="42"/>
      <c r="M179" s="42"/>
      <c r="N179" s="42"/>
    </row>
    <row r="180" ht="14.25" customHeight="1">
      <c r="E180" s="42"/>
      <c r="M180" s="42"/>
      <c r="N180" s="42"/>
    </row>
    <row r="181" ht="14.25" customHeight="1">
      <c r="E181" s="42"/>
      <c r="M181" s="42"/>
      <c r="N181" s="42"/>
    </row>
    <row r="182" ht="14.25" customHeight="1">
      <c r="E182" s="42"/>
      <c r="M182" s="42"/>
      <c r="N182" s="42"/>
    </row>
    <row r="183" ht="14.25" customHeight="1">
      <c r="E183" s="42"/>
      <c r="M183" s="42"/>
      <c r="N183" s="42"/>
    </row>
    <row r="184" ht="14.25" customHeight="1">
      <c r="E184" s="42"/>
      <c r="M184" s="42"/>
      <c r="N184" s="42"/>
    </row>
    <row r="185" ht="14.25" customHeight="1">
      <c r="E185" s="42"/>
      <c r="M185" s="42"/>
      <c r="N185" s="42"/>
    </row>
    <row r="186" ht="14.25" customHeight="1">
      <c r="E186" s="42"/>
      <c r="M186" s="42"/>
      <c r="N186" s="42"/>
    </row>
    <row r="187" ht="14.25" customHeight="1">
      <c r="E187" s="42"/>
      <c r="M187" s="42"/>
      <c r="N187" s="42"/>
    </row>
    <row r="188" ht="14.25" customHeight="1">
      <c r="E188" s="42"/>
      <c r="M188" s="42"/>
      <c r="N188" s="42"/>
    </row>
    <row r="189" ht="14.25" customHeight="1">
      <c r="E189" s="42"/>
      <c r="M189" s="42"/>
      <c r="N189" s="42"/>
    </row>
    <row r="190" ht="14.25" customHeight="1">
      <c r="E190" s="42"/>
      <c r="M190" s="42"/>
      <c r="N190" s="42"/>
    </row>
    <row r="191" ht="14.25" customHeight="1">
      <c r="E191" s="42"/>
      <c r="M191" s="42"/>
      <c r="N191" s="42"/>
    </row>
    <row r="192" ht="14.25" customHeight="1">
      <c r="E192" s="42"/>
      <c r="M192" s="42"/>
      <c r="N192" s="42"/>
    </row>
    <row r="193" ht="14.25" customHeight="1">
      <c r="E193" s="42"/>
      <c r="M193" s="42"/>
      <c r="N193" s="42"/>
    </row>
    <row r="194" ht="14.25" customHeight="1">
      <c r="E194" s="42"/>
      <c r="M194" s="42"/>
      <c r="N194" s="42"/>
    </row>
    <row r="195" ht="14.25" customHeight="1">
      <c r="E195" s="42"/>
      <c r="M195" s="42"/>
      <c r="N195" s="42"/>
    </row>
    <row r="196" ht="14.25" customHeight="1">
      <c r="E196" s="42"/>
      <c r="M196" s="42"/>
      <c r="N196" s="42"/>
    </row>
    <row r="197" ht="14.25" customHeight="1">
      <c r="E197" s="42"/>
      <c r="M197" s="42"/>
      <c r="N197" s="42"/>
    </row>
    <row r="198" ht="14.25" customHeight="1">
      <c r="E198" s="42"/>
      <c r="M198" s="42"/>
      <c r="N198" s="42"/>
    </row>
    <row r="199" ht="14.25" customHeight="1">
      <c r="E199" s="42"/>
      <c r="M199" s="42"/>
      <c r="N199" s="42"/>
    </row>
    <row r="200" ht="14.25" customHeight="1">
      <c r="E200" s="42"/>
      <c r="M200" s="42"/>
      <c r="N200" s="42"/>
    </row>
    <row r="201" ht="14.25" customHeight="1">
      <c r="E201" s="42"/>
      <c r="M201" s="42"/>
      <c r="N201" s="42"/>
    </row>
    <row r="202" ht="14.25" customHeight="1">
      <c r="E202" s="42"/>
      <c r="M202" s="42"/>
      <c r="N202" s="42"/>
    </row>
    <row r="203" ht="14.25" customHeight="1">
      <c r="E203" s="42"/>
      <c r="M203" s="42"/>
      <c r="N203" s="42"/>
    </row>
    <row r="204" ht="14.25" customHeight="1">
      <c r="E204" s="42"/>
      <c r="M204" s="42"/>
      <c r="N204" s="42"/>
    </row>
    <row r="205" ht="14.25" customHeight="1">
      <c r="E205" s="42"/>
      <c r="M205" s="42"/>
      <c r="N205" s="42"/>
    </row>
    <row r="206" ht="14.25" customHeight="1">
      <c r="E206" s="42"/>
      <c r="M206" s="42"/>
      <c r="N206" s="42"/>
    </row>
    <row r="207" ht="14.25" customHeight="1">
      <c r="E207" s="42"/>
      <c r="M207" s="42"/>
      <c r="N207" s="42"/>
    </row>
    <row r="208" ht="14.25" customHeight="1">
      <c r="E208" s="42"/>
      <c r="M208" s="42"/>
      <c r="N208" s="42"/>
    </row>
    <row r="209" ht="14.25" customHeight="1">
      <c r="E209" s="42"/>
      <c r="M209" s="42"/>
      <c r="N209" s="42"/>
    </row>
    <row r="210" ht="14.25" customHeight="1">
      <c r="E210" s="42"/>
      <c r="M210" s="42"/>
      <c r="N210" s="42"/>
    </row>
    <row r="211" ht="14.25" customHeight="1">
      <c r="E211" s="42"/>
      <c r="M211" s="42"/>
      <c r="N211" s="42"/>
    </row>
    <row r="212" ht="14.25" customHeight="1">
      <c r="E212" s="42"/>
      <c r="M212" s="42"/>
      <c r="N212" s="42"/>
    </row>
    <row r="213" ht="14.25" customHeight="1">
      <c r="E213" s="42"/>
      <c r="M213" s="42"/>
      <c r="N213" s="42"/>
    </row>
    <row r="214" ht="14.25" customHeight="1">
      <c r="E214" s="42"/>
      <c r="M214" s="42"/>
      <c r="N214" s="42"/>
    </row>
    <row r="215" ht="14.25" customHeight="1">
      <c r="E215" s="42"/>
      <c r="M215" s="42"/>
      <c r="N215" s="42"/>
    </row>
    <row r="216" ht="14.25" customHeight="1">
      <c r="E216" s="42"/>
      <c r="M216" s="42"/>
      <c r="N216" s="42"/>
    </row>
    <row r="217" ht="14.25" customHeight="1">
      <c r="E217" s="42"/>
      <c r="M217" s="42"/>
      <c r="N217" s="42"/>
    </row>
    <row r="218" ht="14.25" customHeight="1">
      <c r="E218" s="42"/>
      <c r="M218" s="42"/>
      <c r="N218" s="42"/>
    </row>
    <row r="219" ht="14.25" customHeight="1">
      <c r="E219" s="42"/>
      <c r="M219" s="42"/>
      <c r="N219" s="42"/>
    </row>
    <row r="220" ht="14.25" customHeight="1">
      <c r="E220" s="42"/>
      <c r="M220" s="42"/>
      <c r="N220" s="42"/>
    </row>
    <row r="221" ht="14.25" customHeight="1">
      <c r="E221" s="42"/>
      <c r="M221" s="42"/>
      <c r="N221" s="42"/>
    </row>
    <row r="222" ht="14.25" customHeight="1">
      <c r="E222" s="42"/>
      <c r="M222" s="42"/>
      <c r="N222" s="42"/>
    </row>
    <row r="223" ht="14.25" customHeight="1">
      <c r="E223" s="42"/>
      <c r="M223" s="42"/>
      <c r="N223" s="42"/>
    </row>
    <row r="224" ht="14.25" customHeight="1">
      <c r="E224" s="42"/>
      <c r="M224" s="42"/>
      <c r="N224" s="42"/>
    </row>
    <row r="225" ht="14.25" customHeight="1">
      <c r="E225" s="42"/>
      <c r="M225" s="42"/>
      <c r="N225" s="42"/>
    </row>
    <row r="226" ht="14.25" customHeight="1">
      <c r="E226" s="42"/>
      <c r="M226" s="42"/>
      <c r="N226" s="42"/>
    </row>
    <row r="227" ht="14.25" customHeight="1">
      <c r="E227" s="42"/>
      <c r="M227" s="42"/>
      <c r="N227" s="42"/>
    </row>
    <row r="228" ht="14.25" customHeight="1">
      <c r="E228" s="42"/>
      <c r="M228" s="42"/>
      <c r="N228" s="42"/>
    </row>
    <row r="229" ht="14.25" customHeight="1">
      <c r="E229" s="42"/>
      <c r="M229" s="42"/>
      <c r="N229" s="42"/>
    </row>
    <row r="230" ht="14.25" customHeight="1">
      <c r="E230" s="42"/>
      <c r="M230" s="42"/>
      <c r="N230" s="42"/>
    </row>
    <row r="231" ht="14.25" customHeight="1">
      <c r="E231" s="42"/>
      <c r="M231" s="42"/>
      <c r="N231" s="42"/>
    </row>
    <row r="232" ht="14.25" customHeight="1">
      <c r="E232" s="42"/>
      <c r="M232" s="42"/>
      <c r="N232" s="42"/>
    </row>
    <row r="233" ht="14.25" customHeight="1">
      <c r="E233" s="42"/>
      <c r="M233" s="42"/>
      <c r="N233" s="42"/>
    </row>
    <row r="234" ht="14.25" customHeight="1">
      <c r="E234" s="42"/>
      <c r="M234" s="42"/>
      <c r="N234" s="42"/>
    </row>
    <row r="235" ht="14.25" customHeight="1">
      <c r="E235" s="42"/>
      <c r="M235" s="42"/>
      <c r="N235" s="42"/>
    </row>
    <row r="236" ht="14.25" customHeight="1">
      <c r="E236" s="42"/>
      <c r="M236" s="42"/>
      <c r="N236" s="42"/>
    </row>
    <row r="237" ht="14.25" customHeight="1">
      <c r="E237" s="42"/>
      <c r="M237" s="42"/>
      <c r="N237" s="42"/>
    </row>
    <row r="238" ht="14.25" customHeight="1">
      <c r="E238" s="42"/>
      <c r="M238" s="42"/>
      <c r="N238" s="42"/>
    </row>
    <row r="239" ht="14.25" customHeight="1">
      <c r="E239" s="42"/>
      <c r="M239" s="42"/>
      <c r="N239" s="42"/>
    </row>
    <row r="240" ht="14.25" customHeight="1">
      <c r="E240" s="42"/>
      <c r="M240" s="42"/>
      <c r="N240" s="42"/>
    </row>
    <row r="241" ht="14.25" customHeight="1">
      <c r="E241" s="42"/>
      <c r="M241" s="42"/>
      <c r="N241" s="42"/>
    </row>
    <row r="242" ht="14.25" customHeight="1">
      <c r="E242" s="42"/>
      <c r="M242" s="42"/>
      <c r="N242" s="42"/>
    </row>
    <row r="243" ht="14.25" customHeight="1">
      <c r="E243" s="42"/>
      <c r="M243" s="42"/>
      <c r="N243" s="42"/>
    </row>
    <row r="244" ht="14.25" customHeight="1">
      <c r="E244" s="42"/>
      <c r="M244" s="42"/>
      <c r="N244" s="42"/>
    </row>
    <row r="245" ht="14.25" customHeight="1">
      <c r="E245" s="42"/>
      <c r="M245" s="42"/>
      <c r="N245" s="42"/>
    </row>
    <row r="246" ht="14.25" customHeight="1">
      <c r="E246" s="42"/>
      <c r="M246" s="42"/>
      <c r="N246" s="42"/>
    </row>
    <row r="247" ht="14.25" customHeight="1">
      <c r="E247" s="42"/>
      <c r="M247" s="42"/>
      <c r="N247" s="42"/>
    </row>
    <row r="248" ht="14.25" customHeight="1">
      <c r="E248" s="42"/>
      <c r="M248" s="42"/>
      <c r="N248" s="42"/>
    </row>
    <row r="249" ht="14.25" customHeight="1">
      <c r="E249" s="42"/>
      <c r="M249" s="42"/>
      <c r="N249" s="42"/>
    </row>
    <row r="250" ht="14.25" customHeight="1">
      <c r="E250" s="42"/>
      <c r="M250" s="42"/>
      <c r="N250" s="42"/>
    </row>
    <row r="251" ht="14.25" customHeight="1">
      <c r="E251" s="42"/>
      <c r="M251" s="42"/>
      <c r="N251" s="42"/>
    </row>
    <row r="252" ht="14.25" customHeight="1">
      <c r="E252" s="42"/>
      <c r="M252" s="42"/>
      <c r="N252" s="42"/>
    </row>
    <row r="253" ht="14.25" customHeight="1">
      <c r="E253" s="42"/>
      <c r="M253" s="42"/>
      <c r="N253" s="42"/>
    </row>
    <row r="254" ht="14.25" customHeight="1">
      <c r="E254" s="42"/>
      <c r="M254" s="42"/>
      <c r="N254" s="42"/>
    </row>
    <row r="255" ht="14.25" customHeight="1">
      <c r="E255" s="42"/>
      <c r="M255" s="42"/>
      <c r="N255" s="42"/>
    </row>
    <row r="256" ht="14.25" customHeight="1">
      <c r="E256" s="42"/>
      <c r="M256" s="42"/>
      <c r="N256" s="42"/>
    </row>
    <row r="257" ht="14.25" customHeight="1">
      <c r="E257" s="42"/>
      <c r="M257" s="42"/>
      <c r="N257" s="42"/>
    </row>
    <row r="258" ht="14.25" customHeight="1">
      <c r="E258" s="42"/>
      <c r="M258" s="42"/>
      <c r="N258" s="42"/>
    </row>
    <row r="259" ht="14.25" customHeight="1">
      <c r="E259" s="42"/>
      <c r="M259" s="42"/>
      <c r="N259" s="42"/>
    </row>
    <row r="260" ht="14.25" customHeight="1">
      <c r="E260" s="42"/>
      <c r="M260" s="42"/>
      <c r="N260" s="42"/>
    </row>
    <row r="261" ht="14.25" customHeight="1">
      <c r="E261" s="42"/>
      <c r="M261" s="42"/>
      <c r="N261" s="42"/>
    </row>
    <row r="262" ht="14.25" customHeight="1">
      <c r="E262" s="42"/>
      <c r="M262" s="42"/>
      <c r="N262" s="42"/>
    </row>
    <row r="263" ht="14.25" customHeight="1">
      <c r="E263" s="42"/>
      <c r="M263" s="42"/>
      <c r="N263" s="42"/>
    </row>
    <row r="264" ht="14.25" customHeight="1">
      <c r="E264" s="42"/>
      <c r="M264" s="42"/>
      <c r="N264" s="42"/>
    </row>
    <row r="265" ht="14.25" customHeight="1">
      <c r="E265" s="42"/>
      <c r="M265" s="42"/>
      <c r="N265" s="42"/>
    </row>
    <row r="266" ht="14.25" customHeight="1">
      <c r="E266" s="42"/>
      <c r="M266" s="42"/>
      <c r="N266" s="42"/>
    </row>
    <row r="267" ht="14.25" customHeight="1">
      <c r="E267" s="42"/>
      <c r="M267" s="42"/>
      <c r="N267" s="42"/>
    </row>
    <row r="268" ht="14.25" customHeight="1">
      <c r="E268" s="42"/>
      <c r="M268" s="42"/>
      <c r="N268" s="42"/>
    </row>
    <row r="269" ht="14.25" customHeight="1">
      <c r="E269" s="42"/>
      <c r="M269" s="42"/>
      <c r="N269" s="42"/>
    </row>
    <row r="270" ht="14.25" customHeight="1">
      <c r="E270" s="42"/>
      <c r="M270" s="42"/>
      <c r="N270" s="42"/>
    </row>
    <row r="271" ht="14.25" customHeight="1">
      <c r="E271" s="42"/>
      <c r="M271" s="42"/>
      <c r="N271" s="42"/>
    </row>
    <row r="272" ht="14.25" customHeight="1">
      <c r="E272" s="42"/>
      <c r="M272" s="42"/>
      <c r="N272" s="42"/>
    </row>
    <row r="273" ht="14.25" customHeight="1">
      <c r="E273" s="42"/>
      <c r="M273" s="42"/>
      <c r="N273" s="42"/>
    </row>
    <row r="274" ht="14.25" customHeight="1">
      <c r="E274" s="42"/>
      <c r="M274" s="42"/>
      <c r="N274" s="42"/>
    </row>
    <row r="275" ht="14.25" customHeight="1">
      <c r="E275" s="42"/>
      <c r="M275" s="42"/>
      <c r="N275" s="42"/>
    </row>
    <row r="276" ht="14.25" customHeight="1">
      <c r="E276" s="42"/>
      <c r="M276" s="42"/>
      <c r="N276" s="42"/>
    </row>
    <row r="277" ht="14.25" customHeight="1">
      <c r="E277" s="42"/>
      <c r="M277" s="42"/>
      <c r="N277" s="42"/>
    </row>
    <row r="278" ht="14.25" customHeight="1">
      <c r="E278" s="42"/>
      <c r="M278" s="42"/>
      <c r="N278" s="42"/>
    </row>
    <row r="279" ht="14.25" customHeight="1">
      <c r="E279" s="42"/>
      <c r="M279" s="42"/>
      <c r="N279" s="42"/>
    </row>
    <row r="280" ht="14.25" customHeight="1">
      <c r="E280" s="42"/>
      <c r="M280" s="42"/>
      <c r="N280" s="42"/>
    </row>
    <row r="281" ht="14.25" customHeight="1">
      <c r="E281" s="42"/>
      <c r="M281" s="42"/>
      <c r="N281" s="42"/>
    </row>
    <row r="282" ht="14.25" customHeight="1">
      <c r="E282" s="42"/>
      <c r="M282" s="42"/>
      <c r="N282" s="42"/>
    </row>
    <row r="283" ht="14.25" customHeight="1">
      <c r="E283" s="42"/>
      <c r="M283" s="42"/>
      <c r="N283" s="42"/>
    </row>
    <row r="284" ht="14.25" customHeight="1">
      <c r="E284" s="42"/>
      <c r="M284" s="42"/>
      <c r="N284" s="42"/>
    </row>
    <row r="285" ht="14.25" customHeight="1">
      <c r="E285" s="42"/>
      <c r="M285" s="42"/>
      <c r="N285" s="42"/>
    </row>
    <row r="286" ht="14.25" customHeight="1">
      <c r="E286" s="42"/>
      <c r="M286" s="42"/>
      <c r="N286" s="42"/>
    </row>
    <row r="287" ht="14.25" customHeight="1">
      <c r="E287" s="42"/>
      <c r="M287" s="42"/>
      <c r="N287" s="42"/>
    </row>
    <row r="288" ht="14.25" customHeight="1">
      <c r="E288" s="42"/>
      <c r="M288" s="42"/>
      <c r="N288" s="42"/>
    </row>
    <row r="289" ht="14.25" customHeight="1">
      <c r="E289" s="42"/>
      <c r="M289" s="42"/>
      <c r="N289" s="42"/>
    </row>
    <row r="290" ht="14.25" customHeight="1">
      <c r="E290" s="42"/>
      <c r="M290" s="42"/>
      <c r="N290" s="42"/>
    </row>
    <row r="291" ht="14.25" customHeight="1">
      <c r="E291" s="42"/>
      <c r="M291" s="42"/>
      <c r="N291" s="42"/>
    </row>
    <row r="292" ht="14.25" customHeight="1">
      <c r="E292" s="42"/>
      <c r="M292" s="42"/>
      <c r="N292" s="42"/>
    </row>
    <row r="293" ht="14.25" customHeight="1">
      <c r="E293" s="42"/>
      <c r="M293" s="42"/>
      <c r="N293" s="42"/>
    </row>
    <row r="294" ht="14.25" customHeight="1">
      <c r="E294" s="42"/>
      <c r="M294" s="42"/>
      <c r="N294" s="42"/>
    </row>
    <row r="295" ht="14.25" customHeight="1">
      <c r="E295" s="42"/>
      <c r="M295" s="42"/>
      <c r="N295" s="42"/>
    </row>
    <row r="296" ht="14.25" customHeight="1">
      <c r="E296" s="42"/>
      <c r="M296" s="42"/>
      <c r="N296" s="42"/>
    </row>
    <row r="297" ht="14.25" customHeight="1">
      <c r="E297" s="42"/>
      <c r="M297" s="42"/>
      <c r="N297" s="42"/>
    </row>
    <row r="298" ht="14.25" customHeight="1">
      <c r="E298" s="42"/>
      <c r="M298" s="42"/>
      <c r="N298" s="42"/>
    </row>
    <row r="299" ht="14.25" customHeight="1">
      <c r="E299" s="42"/>
      <c r="M299" s="42"/>
      <c r="N299" s="42"/>
    </row>
    <row r="300" ht="14.25" customHeight="1">
      <c r="E300" s="42"/>
      <c r="M300" s="42"/>
      <c r="N300" s="42"/>
    </row>
    <row r="301" ht="14.25" customHeight="1">
      <c r="E301" s="42"/>
      <c r="M301" s="42"/>
      <c r="N301" s="42"/>
    </row>
    <row r="302" ht="14.25" customHeight="1">
      <c r="E302" s="42"/>
      <c r="M302" s="42"/>
      <c r="N302" s="42"/>
    </row>
    <row r="303" ht="14.25" customHeight="1">
      <c r="E303" s="42"/>
      <c r="M303" s="42"/>
      <c r="N303" s="42"/>
    </row>
    <row r="304" ht="14.25" customHeight="1">
      <c r="E304" s="42"/>
      <c r="M304" s="42"/>
      <c r="N304" s="42"/>
    </row>
    <row r="305" ht="14.25" customHeight="1">
      <c r="E305" s="42"/>
      <c r="M305" s="42"/>
      <c r="N305" s="42"/>
    </row>
    <row r="306" ht="14.25" customHeight="1">
      <c r="E306" s="42"/>
      <c r="M306" s="42"/>
      <c r="N306" s="42"/>
    </row>
    <row r="307" ht="14.25" customHeight="1">
      <c r="E307" s="42"/>
      <c r="M307" s="42"/>
      <c r="N307" s="42"/>
    </row>
    <row r="308" ht="14.25" customHeight="1">
      <c r="E308" s="42"/>
      <c r="M308" s="42"/>
      <c r="N308" s="42"/>
    </row>
    <row r="309" ht="14.25" customHeight="1">
      <c r="E309" s="42"/>
      <c r="M309" s="42"/>
      <c r="N309" s="42"/>
    </row>
    <row r="310" ht="14.25" customHeight="1">
      <c r="E310" s="42"/>
      <c r="M310" s="42"/>
      <c r="N310" s="42"/>
    </row>
    <row r="311" ht="14.25" customHeight="1">
      <c r="E311" s="42"/>
      <c r="M311" s="42"/>
      <c r="N311" s="42"/>
    </row>
    <row r="312" ht="14.25" customHeight="1">
      <c r="E312" s="42"/>
      <c r="M312" s="42"/>
      <c r="N312" s="42"/>
    </row>
    <row r="313" ht="14.25" customHeight="1">
      <c r="E313" s="42"/>
      <c r="M313" s="42"/>
      <c r="N313" s="42"/>
    </row>
    <row r="314" ht="14.25" customHeight="1">
      <c r="E314" s="42"/>
      <c r="M314" s="42"/>
      <c r="N314" s="42"/>
    </row>
    <row r="315" ht="14.25" customHeight="1">
      <c r="E315" s="42"/>
      <c r="M315" s="42"/>
      <c r="N315" s="42"/>
    </row>
    <row r="316" ht="14.25" customHeight="1">
      <c r="E316" s="42"/>
      <c r="M316" s="42"/>
      <c r="N316" s="42"/>
    </row>
    <row r="317" ht="14.25" customHeight="1">
      <c r="E317" s="42"/>
      <c r="M317" s="42"/>
      <c r="N317" s="42"/>
    </row>
    <row r="318" ht="14.25" customHeight="1">
      <c r="E318" s="42"/>
      <c r="M318" s="42"/>
      <c r="N318" s="42"/>
    </row>
    <row r="319" ht="14.25" customHeight="1">
      <c r="E319" s="42"/>
      <c r="M319" s="42"/>
      <c r="N319" s="42"/>
    </row>
    <row r="320" ht="14.25" customHeight="1">
      <c r="E320" s="42"/>
      <c r="M320" s="42"/>
      <c r="N320" s="42"/>
    </row>
    <row r="321" ht="14.25" customHeight="1">
      <c r="E321" s="42"/>
      <c r="M321" s="42"/>
      <c r="N321" s="42"/>
    </row>
    <row r="322" ht="14.25" customHeight="1">
      <c r="E322" s="42"/>
      <c r="M322" s="42"/>
      <c r="N322" s="42"/>
    </row>
    <row r="323" ht="14.25" customHeight="1">
      <c r="E323" s="42"/>
      <c r="M323" s="42"/>
      <c r="N323" s="42"/>
    </row>
    <row r="324" ht="14.25" customHeight="1">
      <c r="E324" s="42"/>
      <c r="M324" s="42"/>
      <c r="N324" s="42"/>
    </row>
    <row r="325" ht="14.25" customHeight="1">
      <c r="E325" s="42"/>
      <c r="M325" s="42"/>
      <c r="N325" s="42"/>
    </row>
    <row r="326" ht="14.25" customHeight="1">
      <c r="E326" s="42"/>
      <c r="M326" s="42"/>
      <c r="N326" s="42"/>
    </row>
    <row r="327" ht="14.25" customHeight="1">
      <c r="E327" s="42"/>
      <c r="M327" s="42"/>
      <c r="N327" s="42"/>
    </row>
    <row r="328" ht="14.25" customHeight="1">
      <c r="E328" s="42"/>
      <c r="M328" s="42"/>
      <c r="N328" s="42"/>
    </row>
    <row r="329" ht="14.25" customHeight="1">
      <c r="E329" s="42"/>
      <c r="M329" s="42"/>
      <c r="N329" s="42"/>
    </row>
    <row r="330" ht="14.25" customHeight="1">
      <c r="E330" s="42"/>
      <c r="M330" s="42"/>
      <c r="N330" s="42"/>
    </row>
    <row r="331" ht="14.25" customHeight="1">
      <c r="E331" s="42"/>
      <c r="M331" s="42"/>
      <c r="N331" s="42"/>
    </row>
    <row r="332" ht="14.25" customHeight="1">
      <c r="E332" s="42"/>
      <c r="M332" s="42"/>
      <c r="N332" s="42"/>
    </row>
    <row r="333" ht="14.25" customHeight="1">
      <c r="E333" s="42"/>
      <c r="M333" s="42"/>
      <c r="N333" s="42"/>
    </row>
    <row r="334" ht="14.25" customHeight="1">
      <c r="E334" s="42"/>
      <c r="M334" s="42"/>
      <c r="N334" s="42"/>
    </row>
    <row r="335" ht="14.25" customHeight="1">
      <c r="E335" s="42"/>
      <c r="M335" s="42"/>
      <c r="N335" s="42"/>
    </row>
    <row r="336" ht="14.25" customHeight="1">
      <c r="E336" s="42"/>
      <c r="M336" s="42"/>
      <c r="N336" s="42"/>
    </row>
    <row r="337" ht="14.25" customHeight="1">
      <c r="E337" s="42"/>
      <c r="M337" s="42"/>
      <c r="N337" s="42"/>
    </row>
    <row r="338" ht="14.25" customHeight="1">
      <c r="E338" s="42"/>
      <c r="M338" s="42"/>
      <c r="N338" s="42"/>
    </row>
    <row r="339" ht="14.25" customHeight="1">
      <c r="E339" s="42"/>
      <c r="M339" s="42"/>
      <c r="N339" s="42"/>
    </row>
    <row r="340" ht="14.25" customHeight="1">
      <c r="E340" s="42"/>
      <c r="M340" s="42"/>
      <c r="N340" s="42"/>
    </row>
    <row r="341" ht="14.25" customHeight="1">
      <c r="E341" s="42"/>
      <c r="M341" s="42"/>
      <c r="N341" s="42"/>
    </row>
    <row r="342" ht="14.25" customHeight="1">
      <c r="E342" s="42"/>
      <c r="M342" s="42"/>
      <c r="N342" s="42"/>
    </row>
    <row r="343" ht="14.25" customHeight="1">
      <c r="E343" s="42"/>
      <c r="M343" s="42"/>
      <c r="N343" s="42"/>
    </row>
    <row r="344" ht="14.25" customHeight="1">
      <c r="E344" s="42"/>
      <c r="M344" s="42"/>
      <c r="N344" s="42"/>
    </row>
    <row r="345" ht="14.25" customHeight="1">
      <c r="E345" s="42"/>
      <c r="M345" s="42"/>
      <c r="N345" s="42"/>
    </row>
    <row r="346" ht="14.25" customHeight="1">
      <c r="E346" s="42"/>
      <c r="M346" s="42"/>
      <c r="N346" s="42"/>
    </row>
    <row r="347" ht="14.25" customHeight="1">
      <c r="E347" s="42"/>
      <c r="M347" s="42"/>
      <c r="N347" s="42"/>
    </row>
    <row r="348" ht="14.25" customHeight="1">
      <c r="E348" s="42"/>
      <c r="M348" s="42"/>
      <c r="N348" s="42"/>
    </row>
    <row r="349" ht="14.25" customHeight="1">
      <c r="E349" s="42"/>
      <c r="M349" s="42"/>
      <c r="N349" s="42"/>
    </row>
    <row r="350" ht="14.25" customHeight="1">
      <c r="E350" s="42"/>
      <c r="M350" s="42"/>
      <c r="N350" s="42"/>
    </row>
    <row r="351" ht="14.25" customHeight="1">
      <c r="E351" s="42"/>
      <c r="M351" s="42"/>
      <c r="N351" s="42"/>
    </row>
    <row r="352" ht="14.25" customHeight="1">
      <c r="E352" s="42"/>
      <c r="M352" s="42"/>
      <c r="N352" s="42"/>
    </row>
    <row r="353" ht="14.25" customHeight="1">
      <c r="E353" s="42"/>
      <c r="M353" s="42"/>
      <c r="N353" s="42"/>
    </row>
    <row r="354" ht="14.25" customHeight="1">
      <c r="E354" s="42"/>
      <c r="M354" s="42"/>
      <c r="N354" s="42"/>
    </row>
    <row r="355" ht="14.25" customHeight="1">
      <c r="E355" s="42"/>
      <c r="M355" s="42"/>
      <c r="N355" s="42"/>
    </row>
    <row r="356" ht="14.25" customHeight="1">
      <c r="E356" s="42"/>
      <c r="M356" s="42"/>
      <c r="N356" s="42"/>
    </row>
    <row r="357" ht="14.25" customHeight="1">
      <c r="E357" s="42"/>
      <c r="M357" s="42"/>
      <c r="N357" s="42"/>
    </row>
    <row r="358" ht="14.25" customHeight="1">
      <c r="E358" s="42"/>
      <c r="M358" s="42"/>
      <c r="N358" s="42"/>
    </row>
    <row r="359" ht="14.25" customHeight="1">
      <c r="E359" s="42"/>
      <c r="M359" s="42"/>
      <c r="N359" s="42"/>
    </row>
    <row r="360" ht="14.25" customHeight="1">
      <c r="E360" s="42"/>
      <c r="M360" s="42"/>
      <c r="N360" s="42"/>
    </row>
    <row r="361" ht="14.25" customHeight="1">
      <c r="E361" s="42"/>
      <c r="M361" s="42"/>
      <c r="N361" s="42"/>
    </row>
    <row r="362" ht="14.25" customHeight="1">
      <c r="E362" s="42"/>
      <c r="M362" s="42"/>
      <c r="N362" s="42"/>
    </row>
    <row r="363" ht="14.25" customHeight="1">
      <c r="E363" s="42"/>
      <c r="M363" s="42"/>
      <c r="N363" s="42"/>
    </row>
    <row r="364" ht="14.25" customHeight="1">
      <c r="E364" s="42"/>
      <c r="M364" s="42"/>
      <c r="N364" s="42"/>
    </row>
    <row r="365" ht="14.25" customHeight="1">
      <c r="E365" s="42"/>
      <c r="M365" s="42"/>
      <c r="N365" s="42"/>
    </row>
    <row r="366" ht="14.25" customHeight="1">
      <c r="E366" s="42"/>
      <c r="M366" s="42"/>
      <c r="N366" s="42"/>
    </row>
    <row r="367" ht="14.25" customHeight="1">
      <c r="E367" s="42"/>
      <c r="M367" s="42"/>
      <c r="N367" s="42"/>
    </row>
    <row r="368" ht="14.25" customHeight="1">
      <c r="E368" s="42"/>
      <c r="M368" s="42"/>
      <c r="N368" s="42"/>
    </row>
    <row r="369" ht="14.25" customHeight="1">
      <c r="E369" s="42"/>
      <c r="M369" s="42"/>
      <c r="N369" s="42"/>
    </row>
    <row r="370" ht="14.25" customHeight="1">
      <c r="E370" s="42"/>
      <c r="M370" s="42"/>
      <c r="N370" s="42"/>
    </row>
    <row r="371" ht="14.25" customHeight="1">
      <c r="E371" s="42"/>
      <c r="M371" s="42"/>
      <c r="N371" s="42"/>
    </row>
    <row r="372" ht="14.25" customHeight="1">
      <c r="E372" s="42"/>
      <c r="M372" s="42"/>
      <c r="N372" s="42"/>
    </row>
    <row r="373" ht="14.25" customHeight="1">
      <c r="E373" s="42"/>
      <c r="M373" s="42"/>
      <c r="N373" s="42"/>
    </row>
    <row r="374" ht="14.25" customHeight="1">
      <c r="E374" s="42"/>
      <c r="M374" s="42"/>
      <c r="N374" s="42"/>
    </row>
    <row r="375" ht="14.25" customHeight="1">
      <c r="E375" s="42"/>
      <c r="M375" s="42"/>
      <c r="N375" s="42"/>
    </row>
    <row r="376" ht="14.25" customHeight="1">
      <c r="E376" s="42"/>
      <c r="M376" s="42"/>
      <c r="N376" s="42"/>
    </row>
    <row r="377" ht="14.25" customHeight="1">
      <c r="E377" s="42"/>
      <c r="M377" s="42"/>
      <c r="N377" s="42"/>
    </row>
    <row r="378" ht="14.25" customHeight="1">
      <c r="E378" s="42"/>
      <c r="M378" s="42"/>
      <c r="N378" s="42"/>
    </row>
    <row r="379" ht="14.25" customHeight="1">
      <c r="E379" s="42"/>
      <c r="M379" s="42"/>
      <c r="N379" s="42"/>
    </row>
    <row r="380" ht="14.25" customHeight="1">
      <c r="E380" s="42"/>
      <c r="M380" s="42"/>
      <c r="N380" s="42"/>
    </row>
    <row r="381" ht="14.25" customHeight="1">
      <c r="E381" s="42"/>
      <c r="M381" s="42"/>
      <c r="N381" s="42"/>
    </row>
    <row r="382" ht="14.25" customHeight="1">
      <c r="E382" s="42"/>
      <c r="M382" s="42"/>
      <c r="N382" s="42"/>
    </row>
    <row r="383" ht="14.25" customHeight="1">
      <c r="E383" s="42"/>
      <c r="M383" s="42"/>
      <c r="N383" s="42"/>
    </row>
    <row r="384" ht="14.25" customHeight="1">
      <c r="E384" s="42"/>
      <c r="M384" s="42"/>
      <c r="N384" s="42"/>
    </row>
    <row r="385" ht="14.25" customHeight="1">
      <c r="E385" s="42"/>
      <c r="M385" s="42"/>
      <c r="N385" s="42"/>
    </row>
    <row r="386" ht="14.25" customHeight="1">
      <c r="E386" s="42"/>
      <c r="M386" s="42"/>
      <c r="N386" s="42"/>
    </row>
    <row r="387" ht="14.25" customHeight="1">
      <c r="E387" s="42"/>
      <c r="M387" s="42"/>
      <c r="N387" s="42"/>
    </row>
    <row r="388" ht="14.25" customHeight="1">
      <c r="E388" s="42"/>
      <c r="M388" s="42"/>
      <c r="N388" s="42"/>
    </row>
    <row r="389" ht="14.25" customHeight="1">
      <c r="E389" s="42"/>
      <c r="M389" s="42"/>
      <c r="N389" s="42"/>
    </row>
    <row r="390" ht="14.25" customHeight="1">
      <c r="E390" s="42"/>
      <c r="M390" s="42"/>
      <c r="N390" s="42"/>
    </row>
    <row r="391" ht="14.25" customHeight="1">
      <c r="E391" s="42"/>
      <c r="M391" s="42"/>
      <c r="N391" s="42"/>
    </row>
    <row r="392" ht="14.25" customHeight="1">
      <c r="E392" s="42"/>
      <c r="M392" s="42"/>
      <c r="N392" s="42"/>
    </row>
    <row r="393" ht="14.25" customHeight="1">
      <c r="E393" s="42"/>
      <c r="M393" s="42"/>
      <c r="N393" s="42"/>
    </row>
    <row r="394" ht="14.25" customHeight="1">
      <c r="E394" s="42"/>
      <c r="M394" s="42"/>
      <c r="N394" s="42"/>
    </row>
    <row r="395" ht="14.25" customHeight="1">
      <c r="E395" s="42"/>
      <c r="M395" s="42"/>
      <c r="N395" s="42"/>
    </row>
    <row r="396" ht="14.25" customHeight="1">
      <c r="E396" s="42"/>
      <c r="M396" s="42"/>
      <c r="N396" s="42"/>
    </row>
    <row r="397" ht="14.25" customHeight="1">
      <c r="E397" s="42"/>
      <c r="M397" s="42"/>
      <c r="N397" s="42"/>
    </row>
    <row r="398" ht="14.25" customHeight="1">
      <c r="E398" s="42"/>
      <c r="M398" s="42"/>
      <c r="N398" s="42"/>
    </row>
    <row r="399" ht="14.25" customHeight="1">
      <c r="E399" s="42"/>
      <c r="M399" s="42"/>
      <c r="N399" s="42"/>
    </row>
    <row r="400" ht="14.25" customHeight="1">
      <c r="E400" s="42"/>
      <c r="M400" s="42"/>
      <c r="N400" s="42"/>
    </row>
    <row r="401" ht="14.25" customHeight="1">
      <c r="E401" s="42"/>
      <c r="M401" s="42"/>
      <c r="N401" s="42"/>
    </row>
    <row r="402" ht="14.25" customHeight="1">
      <c r="E402" s="42"/>
      <c r="M402" s="42"/>
      <c r="N402" s="42"/>
    </row>
    <row r="403" ht="14.25" customHeight="1">
      <c r="E403" s="42"/>
      <c r="M403" s="42"/>
      <c r="N403" s="42"/>
    </row>
    <row r="404" ht="14.25" customHeight="1">
      <c r="E404" s="42"/>
      <c r="M404" s="42"/>
      <c r="N404" s="42"/>
    </row>
    <row r="405" ht="14.25" customHeight="1">
      <c r="E405" s="42"/>
      <c r="M405" s="42"/>
      <c r="N405" s="42"/>
    </row>
    <row r="406" ht="14.25" customHeight="1">
      <c r="E406" s="42"/>
      <c r="M406" s="42"/>
      <c r="N406" s="42"/>
    </row>
    <row r="407" ht="14.25" customHeight="1">
      <c r="E407" s="42"/>
      <c r="M407" s="42"/>
      <c r="N407" s="42"/>
    </row>
    <row r="408" ht="14.25" customHeight="1">
      <c r="E408" s="42"/>
      <c r="M408" s="42"/>
      <c r="N408" s="42"/>
    </row>
    <row r="409" ht="14.25" customHeight="1">
      <c r="E409" s="42"/>
      <c r="M409" s="42"/>
      <c r="N409" s="42"/>
    </row>
    <row r="410" ht="14.25" customHeight="1">
      <c r="E410" s="42"/>
      <c r="M410" s="42"/>
      <c r="N410" s="42"/>
    </row>
    <row r="411" ht="14.25" customHeight="1">
      <c r="E411" s="42"/>
      <c r="M411" s="42"/>
      <c r="N411" s="42"/>
    </row>
    <row r="412" ht="14.25" customHeight="1">
      <c r="E412" s="42"/>
      <c r="M412" s="42"/>
      <c r="N412" s="42"/>
    </row>
    <row r="413" ht="14.25" customHeight="1">
      <c r="E413" s="42"/>
      <c r="M413" s="42"/>
      <c r="N413" s="42"/>
    </row>
    <row r="414" ht="14.25" customHeight="1">
      <c r="E414" s="42"/>
      <c r="M414" s="42"/>
      <c r="N414" s="42"/>
    </row>
    <row r="415" ht="14.25" customHeight="1">
      <c r="E415" s="42"/>
      <c r="M415" s="42"/>
      <c r="N415" s="42"/>
    </row>
    <row r="416" ht="14.25" customHeight="1">
      <c r="E416" s="42"/>
      <c r="M416" s="42"/>
      <c r="N416" s="42"/>
    </row>
    <row r="417" ht="14.25" customHeight="1">
      <c r="E417" s="42"/>
      <c r="M417" s="42"/>
      <c r="N417" s="42"/>
    </row>
    <row r="418" ht="14.25" customHeight="1">
      <c r="E418" s="42"/>
      <c r="M418" s="42"/>
      <c r="N418" s="42"/>
    </row>
    <row r="419" ht="14.25" customHeight="1">
      <c r="E419" s="42"/>
      <c r="M419" s="42"/>
      <c r="N419" s="42"/>
    </row>
    <row r="420" ht="14.25" customHeight="1">
      <c r="E420" s="42"/>
      <c r="M420" s="42"/>
      <c r="N420" s="42"/>
    </row>
    <row r="421" ht="14.25" customHeight="1">
      <c r="E421" s="42"/>
      <c r="M421" s="42"/>
      <c r="N421" s="42"/>
    </row>
    <row r="422" ht="14.25" customHeight="1">
      <c r="E422" s="42"/>
      <c r="M422" s="42"/>
      <c r="N422" s="42"/>
    </row>
    <row r="423" ht="14.25" customHeight="1">
      <c r="E423" s="42"/>
      <c r="M423" s="42"/>
      <c r="N423" s="42"/>
    </row>
    <row r="424" ht="14.25" customHeight="1">
      <c r="E424" s="42"/>
      <c r="M424" s="42"/>
      <c r="N424" s="42"/>
    </row>
    <row r="425" ht="14.25" customHeight="1">
      <c r="E425" s="42"/>
      <c r="M425" s="42"/>
      <c r="N425" s="42"/>
    </row>
    <row r="426" ht="14.25" customHeight="1">
      <c r="E426" s="42"/>
      <c r="M426" s="42"/>
      <c r="N426" s="42"/>
    </row>
    <row r="427" ht="14.25" customHeight="1">
      <c r="E427" s="42"/>
      <c r="M427" s="42"/>
      <c r="N427" s="42"/>
    </row>
    <row r="428" ht="14.25" customHeight="1">
      <c r="E428" s="42"/>
      <c r="M428" s="42"/>
      <c r="N428" s="42"/>
    </row>
    <row r="429" ht="14.25" customHeight="1">
      <c r="E429" s="42"/>
      <c r="M429" s="42"/>
      <c r="N429" s="42"/>
    </row>
    <row r="430" ht="14.25" customHeight="1">
      <c r="E430" s="42"/>
      <c r="M430" s="42"/>
      <c r="N430" s="42"/>
    </row>
    <row r="431" ht="14.25" customHeight="1">
      <c r="E431" s="42"/>
      <c r="M431" s="42"/>
      <c r="N431" s="42"/>
    </row>
    <row r="432" ht="14.25" customHeight="1">
      <c r="E432" s="42"/>
      <c r="M432" s="42"/>
      <c r="N432" s="42"/>
    </row>
    <row r="433" ht="14.25" customHeight="1">
      <c r="E433" s="42"/>
      <c r="M433" s="42"/>
      <c r="N433" s="42"/>
    </row>
    <row r="434" ht="14.25" customHeight="1">
      <c r="E434" s="42"/>
      <c r="M434" s="42"/>
      <c r="N434" s="42"/>
    </row>
    <row r="435" ht="14.25" customHeight="1">
      <c r="E435" s="42"/>
      <c r="M435" s="42"/>
      <c r="N435" s="42"/>
    </row>
    <row r="436" ht="14.25" customHeight="1">
      <c r="E436" s="42"/>
      <c r="M436" s="42"/>
      <c r="N436" s="42"/>
    </row>
    <row r="437" ht="14.25" customHeight="1">
      <c r="E437" s="42"/>
      <c r="M437" s="42"/>
      <c r="N437" s="42"/>
    </row>
    <row r="438" ht="14.25" customHeight="1">
      <c r="E438" s="42"/>
      <c r="M438" s="42"/>
      <c r="N438" s="42"/>
    </row>
    <row r="439" ht="14.25" customHeight="1">
      <c r="E439" s="42"/>
      <c r="M439" s="42"/>
      <c r="N439" s="42"/>
    </row>
    <row r="440" ht="14.25" customHeight="1">
      <c r="E440" s="42"/>
      <c r="M440" s="42"/>
      <c r="N440" s="42"/>
    </row>
    <row r="441" ht="14.25" customHeight="1">
      <c r="E441" s="42"/>
      <c r="M441" s="42"/>
      <c r="N441" s="42"/>
    </row>
    <row r="442" ht="14.25" customHeight="1">
      <c r="E442" s="42"/>
      <c r="M442" s="42"/>
      <c r="N442" s="42"/>
    </row>
    <row r="443" ht="14.25" customHeight="1">
      <c r="E443" s="42"/>
      <c r="M443" s="42"/>
      <c r="N443" s="42"/>
    </row>
    <row r="444" ht="14.25" customHeight="1">
      <c r="E444" s="42"/>
      <c r="M444" s="42"/>
      <c r="N444" s="42"/>
    </row>
    <row r="445" ht="14.25" customHeight="1">
      <c r="E445" s="42"/>
      <c r="M445" s="42"/>
      <c r="N445" s="42"/>
    </row>
    <row r="446" ht="14.25" customHeight="1">
      <c r="E446" s="42"/>
      <c r="M446" s="42"/>
      <c r="N446" s="42"/>
    </row>
    <row r="447" ht="14.25" customHeight="1">
      <c r="E447" s="42"/>
      <c r="M447" s="42"/>
      <c r="N447" s="42"/>
    </row>
    <row r="448" ht="14.25" customHeight="1">
      <c r="E448" s="42"/>
      <c r="M448" s="42"/>
      <c r="N448" s="42"/>
    </row>
    <row r="449" ht="14.25" customHeight="1">
      <c r="E449" s="42"/>
      <c r="M449" s="42"/>
      <c r="N449" s="42"/>
    </row>
    <row r="450" ht="14.25" customHeight="1">
      <c r="E450" s="42"/>
      <c r="M450" s="42"/>
      <c r="N450" s="42"/>
    </row>
    <row r="451" ht="14.25" customHeight="1">
      <c r="E451" s="42"/>
      <c r="M451" s="42"/>
      <c r="N451" s="42"/>
    </row>
    <row r="452" ht="14.25" customHeight="1">
      <c r="E452" s="42"/>
      <c r="M452" s="42"/>
      <c r="N452" s="42"/>
    </row>
    <row r="453" ht="14.25" customHeight="1">
      <c r="E453" s="42"/>
      <c r="M453" s="42"/>
      <c r="N453" s="42"/>
    </row>
    <row r="454" ht="14.25" customHeight="1">
      <c r="E454" s="42"/>
      <c r="M454" s="42"/>
      <c r="N454" s="42"/>
    </row>
    <row r="455" ht="14.25" customHeight="1">
      <c r="E455" s="42"/>
      <c r="M455" s="42"/>
      <c r="N455" s="42"/>
    </row>
    <row r="456" ht="14.25" customHeight="1">
      <c r="E456" s="42"/>
      <c r="M456" s="42"/>
      <c r="N456" s="42"/>
    </row>
    <row r="457" ht="14.25" customHeight="1">
      <c r="E457" s="42"/>
      <c r="M457" s="42"/>
      <c r="N457" s="42"/>
    </row>
    <row r="458" ht="14.25" customHeight="1">
      <c r="E458" s="42"/>
      <c r="M458" s="42"/>
      <c r="N458" s="42"/>
    </row>
    <row r="459" ht="14.25" customHeight="1">
      <c r="E459" s="42"/>
      <c r="M459" s="42"/>
      <c r="N459" s="42"/>
    </row>
    <row r="460" ht="14.25" customHeight="1">
      <c r="E460" s="42"/>
      <c r="M460" s="42"/>
      <c r="N460" s="42"/>
    </row>
    <row r="461" ht="14.25" customHeight="1">
      <c r="E461" s="42"/>
      <c r="M461" s="42"/>
      <c r="N461" s="42"/>
    </row>
    <row r="462" ht="14.25" customHeight="1">
      <c r="E462" s="42"/>
      <c r="M462" s="42"/>
      <c r="N462" s="42"/>
    </row>
    <row r="463" ht="14.25" customHeight="1">
      <c r="E463" s="42"/>
      <c r="M463" s="42"/>
      <c r="N463" s="42"/>
    </row>
    <row r="464" ht="14.25" customHeight="1">
      <c r="E464" s="42"/>
      <c r="M464" s="42"/>
      <c r="N464" s="42"/>
    </row>
    <row r="465" ht="14.25" customHeight="1">
      <c r="E465" s="42"/>
      <c r="M465" s="42"/>
      <c r="N465" s="42"/>
    </row>
    <row r="466" ht="14.25" customHeight="1">
      <c r="E466" s="42"/>
      <c r="M466" s="42"/>
      <c r="N466" s="42"/>
    </row>
    <row r="467" ht="14.25" customHeight="1">
      <c r="E467" s="42"/>
      <c r="M467" s="42"/>
      <c r="N467" s="42"/>
    </row>
    <row r="468" ht="14.25" customHeight="1">
      <c r="E468" s="42"/>
      <c r="M468" s="42"/>
      <c r="N468" s="42"/>
    </row>
    <row r="469" ht="14.25" customHeight="1">
      <c r="E469" s="42"/>
      <c r="M469" s="42"/>
      <c r="N469" s="42"/>
    </row>
    <row r="470" ht="14.25" customHeight="1">
      <c r="E470" s="42"/>
      <c r="M470" s="42"/>
      <c r="N470" s="42"/>
    </row>
    <row r="471" ht="14.25" customHeight="1">
      <c r="E471" s="42"/>
      <c r="M471" s="42"/>
      <c r="N471" s="42"/>
    </row>
    <row r="472" ht="14.25" customHeight="1">
      <c r="E472" s="42"/>
      <c r="M472" s="42"/>
      <c r="N472" s="42"/>
    </row>
    <row r="473" ht="14.25" customHeight="1">
      <c r="E473" s="42"/>
      <c r="M473" s="42"/>
      <c r="N473" s="42"/>
    </row>
    <row r="474" ht="14.25" customHeight="1">
      <c r="E474" s="42"/>
      <c r="M474" s="42"/>
      <c r="N474" s="42"/>
    </row>
    <row r="475" ht="14.25" customHeight="1">
      <c r="E475" s="42"/>
      <c r="M475" s="42"/>
      <c r="N475" s="42"/>
    </row>
    <row r="476" ht="14.25" customHeight="1">
      <c r="E476" s="42"/>
      <c r="M476" s="42"/>
      <c r="N476" s="42"/>
    </row>
    <row r="477" ht="14.25" customHeight="1">
      <c r="E477" s="42"/>
      <c r="M477" s="42"/>
      <c r="N477" s="42"/>
    </row>
    <row r="478" ht="14.25" customHeight="1">
      <c r="E478" s="42"/>
      <c r="M478" s="42"/>
      <c r="N478" s="42"/>
    </row>
    <row r="479" ht="14.25" customHeight="1">
      <c r="E479" s="42"/>
      <c r="M479" s="42"/>
      <c r="N479" s="42"/>
    </row>
    <row r="480" ht="14.25" customHeight="1">
      <c r="E480" s="42"/>
      <c r="M480" s="42"/>
      <c r="N480" s="42"/>
    </row>
    <row r="481" ht="14.25" customHeight="1">
      <c r="E481" s="42"/>
      <c r="M481" s="42"/>
      <c r="N481" s="42"/>
    </row>
    <row r="482" ht="14.25" customHeight="1">
      <c r="E482" s="42"/>
      <c r="M482" s="42"/>
      <c r="N482" s="42"/>
    </row>
    <row r="483" ht="14.25" customHeight="1">
      <c r="E483" s="42"/>
      <c r="M483" s="42"/>
      <c r="N483" s="42"/>
    </row>
    <row r="484" ht="14.25" customHeight="1">
      <c r="E484" s="42"/>
      <c r="M484" s="42"/>
      <c r="N484" s="42"/>
    </row>
    <row r="485" ht="14.25" customHeight="1">
      <c r="E485" s="42"/>
      <c r="M485" s="42"/>
      <c r="N485" s="42"/>
    </row>
    <row r="486" ht="14.25" customHeight="1">
      <c r="E486" s="42"/>
      <c r="M486" s="42"/>
      <c r="N486" s="42"/>
    </row>
    <row r="487" ht="14.25" customHeight="1">
      <c r="E487" s="42"/>
      <c r="M487" s="42"/>
      <c r="N487" s="42"/>
    </row>
    <row r="488" ht="14.25" customHeight="1">
      <c r="E488" s="42"/>
      <c r="M488" s="42"/>
      <c r="N488" s="42"/>
    </row>
    <row r="489" ht="14.25" customHeight="1">
      <c r="E489" s="42"/>
      <c r="M489" s="42"/>
      <c r="N489" s="42"/>
    </row>
    <row r="490" ht="14.25" customHeight="1">
      <c r="E490" s="42"/>
      <c r="M490" s="42"/>
      <c r="N490" s="42"/>
    </row>
    <row r="491" ht="14.25" customHeight="1">
      <c r="E491" s="42"/>
      <c r="M491" s="42"/>
      <c r="N491" s="42"/>
    </row>
    <row r="492" ht="14.25" customHeight="1">
      <c r="E492" s="42"/>
      <c r="M492" s="42"/>
      <c r="N492" s="42"/>
    </row>
    <row r="493" ht="14.25" customHeight="1">
      <c r="E493" s="42"/>
      <c r="M493" s="42"/>
      <c r="N493" s="42"/>
    </row>
    <row r="494" ht="14.25" customHeight="1">
      <c r="E494" s="42"/>
      <c r="M494" s="42"/>
      <c r="N494" s="42"/>
    </row>
    <row r="495" ht="14.25" customHeight="1">
      <c r="E495" s="42"/>
      <c r="M495" s="42"/>
      <c r="N495" s="42"/>
    </row>
    <row r="496" ht="14.25" customHeight="1">
      <c r="E496" s="42"/>
      <c r="M496" s="42"/>
      <c r="N496" s="42"/>
    </row>
    <row r="497" ht="14.25" customHeight="1">
      <c r="E497" s="42"/>
      <c r="M497" s="42"/>
      <c r="N497" s="42"/>
    </row>
    <row r="498" ht="14.25" customHeight="1">
      <c r="E498" s="42"/>
      <c r="M498" s="42"/>
      <c r="N498" s="42"/>
    </row>
    <row r="499" ht="14.25" customHeight="1">
      <c r="E499" s="42"/>
      <c r="M499" s="42"/>
      <c r="N499" s="42"/>
    </row>
    <row r="500" ht="14.25" customHeight="1">
      <c r="E500" s="42"/>
      <c r="M500" s="42"/>
      <c r="N500" s="42"/>
    </row>
    <row r="501" ht="14.25" customHeight="1">
      <c r="E501" s="42"/>
      <c r="M501" s="42"/>
      <c r="N501" s="42"/>
    </row>
    <row r="502" ht="14.25" customHeight="1">
      <c r="E502" s="42"/>
      <c r="M502" s="42"/>
      <c r="N502" s="42"/>
    </row>
    <row r="503" ht="14.25" customHeight="1">
      <c r="E503" s="42"/>
      <c r="M503" s="42"/>
      <c r="N503" s="42"/>
    </row>
    <row r="504" ht="14.25" customHeight="1">
      <c r="E504" s="42"/>
      <c r="M504" s="42"/>
      <c r="N504" s="42"/>
    </row>
    <row r="505" ht="14.25" customHeight="1">
      <c r="E505" s="42"/>
      <c r="M505" s="42"/>
      <c r="N505" s="42"/>
    </row>
    <row r="506" ht="14.25" customHeight="1">
      <c r="E506" s="42"/>
      <c r="M506" s="42"/>
      <c r="N506" s="42"/>
    </row>
    <row r="507" ht="14.25" customHeight="1">
      <c r="E507" s="42"/>
      <c r="M507" s="42"/>
      <c r="N507" s="42"/>
    </row>
    <row r="508" ht="14.25" customHeight="1">
      <c r="E508" s="42"/>
      <c r="M508" s="42"/>
      <c r="N508" s="42"/>
    </row>
    <row r="509" ht="14.25" customHeight="1">
      <c r="E509" s="42"/>
      <c r="M509" s="42"/>
      <c r="N509" s="42"/>
    </row>
    <row r="510" ht="14.25" customHeight="1">
      <c r="E510" s="42"/>
      <c r="M510" s="42"/>
      <c r="N510" s="42"/>
    </row>
    <row r="511" ht="14.25" customHeight="1">
      <c r="E511" s="42"/>
      <c r="M511" s="42"/>
      <c r="N511" s="42"/>
    </row>
    <row r="512" ht="14.25" customHeight="1">
      <c r="E512" s="42"/>
      <c r="M512" s="42"/>
      <c r="N512" s="42"/>
    </row>
    <row r="513" ht="14.25" customHeight="1">
      <c r="E513" s="42"/>
      <c r="M513" s="42"/>
      <c r="N513" s="42"/>
    </row>
    <row r="514" ht="14.25" customHeight="1">
      <c r="E514" s="42"/>
      <c r="M514" s="42"/>
      <c r="N514" s="42"/>
    </row>
    <row r="515" ht="14.25" customHeight="1">
      <c r="E515" s="42"/>
      <c r="M515" s="42"/>
      <c r="N515" s="42"/>
    </row>
    <row r="516" ht="14.25" customHeight="1">
      <c r="E516" s="42"/>
      <c r="M516" s="42"/>
      <c r="N516" s="42"/>
    </row>
    <row r="517" ht="14.25" customHeight="1">
      <c r="E517" s="42"/>
      <c r="M517" s="42"/>
      <c r="N517" s="42"/>
    </row>
    <row r="518" ht="14.25" customHeight="1">
      <c r="E518" s="42"/>
      <c r="M518" s="42"/>
      <c r="N518" s="42"/>
    </row>
    <row r="519" ht="14.25" customHeight="1">
      <c r="E519" s="42"/>
      <c r="M519" s="42"/>
      <c r="N519" s="42"/>
    </row>
    <row r="520" ht="14.25" customHeight="1">
      <c r="E520" s="42"/>
      <c r="M520" s="42"/>
      <c r="N520" s="42"/>
    </row>
    <row r="521" ht="14.25" customHeight="1">
      <c r="E521" s="42"/>
      <c r="M521" s="42"/>
      <c r="N521" s="42"/>
    </row>
    <row r="522" ht="14.25" customHeight="1">
      <c r="E522" s="42"/>
      <c r="M522" s="42"/>
      <c r="N522" s="42"/>
    </row>
    <row r="523" ht="14.25" customHeight="1">
      <c r="E523" s="42"/>
      <c r="M523" s="42"/>
      <c r="N523" s="42"/>
    </row>
    <row r="524" ht="14.25" customHeight="1">
      <c r="E524" s="42"/>
      <c r="M524" s="42"/>
      <c r="N524" s="42"/>
    </row>
    <row r="525" ht="14.25" customHeight="1">
      <c r="E525" s="42"/>
      <c r="M525" s="42"/>
      <c r="N525" s="42"/>
    </row>
    <row r="526" ht="14.25" customHeight="1">
      <c r="E526" s="42"/>
      <c r="M526" s="42"/>
      <c r="N526" s="42"/>
    </row>
    <row r="527" ht="14.25" customHeight="1">
      <c r="E527" s="42"/>
      <c r="M527" s="42"/>
      <c r="N527" s="42"/>
    </row>
    <row r="528" ht="14.25" customHeight="1">
      <c r="E528" s="42"/>
      <c r="M528" s="42"/>
      <c r="N528" s="42"/>
    </row>
    <row r="529" ht="14.25" customHeight="1">
      <c r="E529" s="42"/>
      <c r="M529" s="42"/>
      <c r="N529" s="42"/>
    </row>
    <row r="530" ht="14.25" customHeight="1">
      <c r="E530" s="42"/>
      <c r="M530" s="42"/>
      <c r="N530" s="42"/>
    </row>
    <row r="531" ht="14.25" customHeight="1">
      <c r="E531" s="42"/>
      <c r="M531" s="42"/>
      <c r="N531" s="42"/>
    </row>
    <row r="532" ht="14.25" customHeight="1">
      <c r="E532" s="42"/>
      <c r="M532" s="42"/>
      <c r="N532" s="42"/>
    </row>
    <row r="533" ht="14.25" customHeight="1">
      <c r="E533" s="42"/>
      <c r="M533" s="42"/>
      <c r="N533" s="42"/>
    </row>
    <row r="534" ht="14.25" customHeight="1">
      <c r="E534" s="42"/>
      <c r="M534" s="42"/>
      <c r="N534" s="42"/>
    </row>
    <row r="535" ht="14.25" customHeight="1">
      <c r="E535" s="42"/>
      <c r="M535" s="42"/>
      <c r="N535" s="42"/>
    </row>
    <row r="536" ht="14.25" customHeight="1">
      <c r="E536" s="42"/>
      <c r="M536" s="42"/>
      <c r="N536" s="42"/>
    </row>
    <row r="537" ht="14.25" customHeight="1">
      <c r="E537" s="42"/>
      <c r="M537" s="42"/>
      <c r="N537" s="42"/>
    </row>
    <row r="538" ht="14.25" customHeight="1">
      <c r="E538" s="42"/>
      <c r="M538" s="42"/>
      <c r="N538" s="42"/>
    </row>
    <row r="539" ht="14.25" customHeight="1">
      <c r="E539" s="42"/>
      <c r="M539" s="42"/>
      <c r="N539" s="42"/>
    </row>
    <row r="540" ht="14.25" customHeight="1">
      <c r="E540" s="42"/>
      <c r="M540" s="42"/>
      <c r="N540" s="42"/>
    </row>
    <row r="541" ht="14.25" customHeight="1">
      <c r="E541" s="42"/>
      <c r="M541" s="42"/>
      <c r="N541" s="42"/>
    </row>
    <row r="542" ht="14.25" customHeight="1">
      <c r="E542" s="42"/>
      <c r="M542" s="42"/>
      <c r="N542" s="42"/>
    </row>
    <row r="543" ht="14.25" customHeight="1">
      <c r="E543" s="42"/>
      <c r="M543" s="42"/>
      <c r="N543" s="42"/>
    </row>
    <row r="544" ht="14.25" customHeight="1">
      <c r="E544" s="42"/>
      <c r="M544" s="42"/>
      <c r="N544" s="42"/>
    </row>
    <row r="545" ht="14.25" customHeight="1">
      <c r="E545" s="42"/>
      <c r="M545" s="42"/>
      <c r="N545" s="42"/>
    </row>
    <row r="546" ht="14.25" customHeight="1">
      <c r="E546" s="42"/>
      <c r="M546" s="42"/>
      <c r="N546" s="42"/>
    </row>
    <row r="547" ht="14.25" customHeight="1">
      <c r="E547" s="42"/>
      <c r="M547" s="42"/>
      <c r="N547" s="42"/>
    </row>
    <row r="548" ht="14.25" customHeight="1">
      <c r="E548" s="42"/>
      <c r="M548" s="42"/>
      <c r="N548" s="42"/>
    </row>
    <row r="549" ht="14.25" customHeight="1">
      <c r="E549" s="42"/>
      <c r="M549" s="42"/>
      <c r="N549" s="42"/>
    </row>
    <row r="550" ht="14.25" customHeight="1">
      <c r="E550" s="42"/>
      <c r="M550" s="42"/>
      <c r="N550" s="42"/>
    </row>
    <row r="551" ht="14.25" customHeight="1">
      <c r="E551" s="42"/>
      <c r="M551" s="42"/>
      <c r="N551" s="42"/>
    </row>
    <row r="552" ht="14.25" customHeight="1">
      <c r="E552" s="42"/>
      <c r="M552" s="42"/>
      <c r="N552" s="42"/>
    </row>
    <row r="553" ht="14.25" customHeight="1">
      <c r="E553" s="42"/>
      <c r="M553" s="42"/>
      <c r="N553" s="42"/>
    </row>
    <row r="554" ht="14.25" customHeight="1">
      <c r="E554" s="42"/>
      <c r="M554" s="42"/>
      <c r="N554" s="42"/>
    </row>
    <row r="555" ht="14.25" customHeight="1">
      <c r="E555" s="42"/>
      <c r="M555" s="42"/>
      <c r="N555" s="42"/>
    </row>
    <row r="556" ht="14.25" customHeight="1">
      <c r="E556" s="42"/>
      <c r="M556" s="42"/>
      <c r="N556" s="42"/>
    </row>
    <row r="557" ht="14.25" customHeight="1">
      <c r="E557" s="42"/>
      <c r="M557" s="42"/>
      <c r="N557" s="42"/>
    </row>
    <row r="558" ht="14.25" customHeight="1">
      <c r="E558" s="42"/>
      <c r="M558" s="42"/>
      <c r="N558" s="42"/>
    </row>
    <row r="559" ht="14.25" customHeight="1">
      <c r="E559" s="42"/>
      <c r="M559" s="42"/>
      <c r="N559" s="42"/>
    </row>
    <row r="560" ht="14.25" customHeight="1">
      <c r="E560" s="42"/>
      <c r="M560" s="42"/>
      <c r="N560" s="42"/>
    </row>
    <row r="561" ht="14.25" customHeight="1">
      <c r="E561" s="42"/>
      <c r="M561" s="42"/>
      <c r="N561" s="42"/>
    </row>
    <row r="562" ht="14.25" customHeight="1">
      <c r="E562" s="42"/>
      <c r="M562" s="42"/>
      <c r="N562" s="42"/>
    </row>
    <row r="563" ht="14.25" customHeight="1">
      <c r="E563" s="42"/>
      <c r="M563" s="42"/>
      <c r="N563" s="42"/>
    </row>
    <row r="564" ht="14.25" customHeight="1">
      <c r="E564" s="42"/>
      <c r="M564" s="42"/>
      <c r="N564" s="42"/>
    </row>
    <row r="565" ht="14.25" customHeight="1">
      <c r="E565" s="42"/>
      <c r="M565" s="42"/>
      <c r="N565" s="42"/>
    </row>
    <row r="566" ht="14.25" customHeight="1">
      <c r="E566" s="42"/>
      <c r="M566" s="42"/>
      <c r="N566" s="42"/>
    </row>
    <row r="567" ht="14.25" customHeight="1">
      <c r="E567" s="42"/>
      <c r="M567" s="42"/>
      <c r="N567" s="42"/>
    </row>
    <row r="568" ht="14.25" customHeight="1">
      <c r="E568" s="42"/>
      <c r="M568" s="42"/>
      <c r="N568" s="42"/>
    </row>
    <row r="569" ht="14.25" customHeight="1">
      <c r="E569" s="42"/>
      <c r="M569" s="42"/>
      <c r="N569" s="42"/>
    </row>
    <row r="570" ht="14.25" customHeight="1">
      <c r="E570" s="42"/>
      <c r="M570" s="42"/>
      <c r="N570" s="42"/>
    </row>
    <row r="571" ht="14.25" customHeight="1">
      <c r="E571" s="42"/>
      <c r="M571" s="42"/>
      <c r="N571" s="42"/>
    </row>
    <row r="572" ht="14.25" customHeight="1">
      <c r="E572" s="42"/>
      <c r="M572" s="42"/>
      <c r="N572" s="42"/>
    </row>
    <row r="573" ht="14.25" customHeight="1">
      <c r="E573" s="42"/>
      <c r="M573" s="42"/>
      <c r="N573" s="42"/>
    </row>
    <row r="574" ht="14.25" customHeight="1">
      <c r="E574" s="42"/>
      <c r="M574" s="42"/>
      <c r="N574" s="42"/>
    </row>
    <row r="575" ht="14.25" customHeight="1">
      <c r="E575" s="42"/>
      <c r="M575" s="42"/>
      <c r="N575" s="42"/>
    </row>
    <row r="576" ht="14.25" customHeight="1">
      <c r="E576" s="42"/>
      <c r="M576" s="42"/>
      <c r="N576" s="42"/>
    </row>
    <row r="577" ht="14.25" customHeight="1">
      <c r="E577" s="42"/>
      <c r="M577" s="42"/>
      <c r="N577" s="42"/>
    </row>
    <row r="578" ht="14.25" customHeight="1">
      <c r="E578" s="42"/>
      <c r="M578" s="42"/>
      <c r="N578" s="42"/>
    </row>
    <row r="579" ht="14.25" customHeight="1">
      <c r="E579" s="42"/>
      <c r="M579" s="42"/>
      <c r="N579" s="42"/>
    </row>
    <row r="580" ht="14.25" customHeight="1">
      <c r="E580" s="42"/>
      <c r="M580" s="42"/>
      <c r="N580" s="42"/>
    </row>
    <row r="581" ht="14.25" customHeight="1">
      <c r="E581" s="42"/>
      <c r="M581" s="42"/>
      <c r="N581" s="42"/>
    </row>
    <row r="582" ht="14.25" customHeight="1">
      <c r="E582" s="42"/>
      <c r="M582" s="42"/>
      <c r="N582" s="42"/>
    </row>
    <row r="583" ht="14.25" customHeight="1">
      <c r="E583" s="42"/>
      <c r="M583" s="42"/>
      <c r="N583" s="42"/>
    </row>
    <row r="584" ht="14.25" customHeight="1">
      <c r="E584" s="42"/>
      <c r="M584" s="42"/>
      <c r="N584" s="42"/>
    </row>
    <row r="585" ht="14.25" customHeight="1">
      <c r="E585" s="42"/>
      <c r="M585" s="42"/>
      <c r="N585" s="42"/>
    </row>
    <row r="586" ht="14.25" customHeight="1">
      <c r="E586" s="42"/>
      <c r="M586" s="42"/>
      <c r="N586" s="42"/>
    </row>
    <row r="587" ht="14.25" customHeight="1">
      <c r="E587" s="42"/>
      <c r="M587" s="42"/>
      <c r="N587" s="42"/>
    </row>
    <row r="588" ht="14.25" customHeight="1">
      <c r="E588" s="42"/>
      <c r="M588" s="42"/>
      <c r="N588" s="42"/>
    </row>
    <row r="589" ht="14.25" customHeight="1">
      <c r="E589" s="42"/>
      <c r="M589" s="42"/>
      <c r="N589" s="42"/>
    </row>
    <row r="590" ht="14.25" customHeight="1">
      <c r="E590" s="42"/>
      <c r="M590" s="42"/>
      <c r="N590" s="42"/>
    </row>
    <row r="591" ht="14.25" customHeight="1">
      <c r="E591" s="42"/>
      <c r="M591" s="42"/>
      <c r="N591" s="42"/>
    </row>
    <row r="592" ht="14.25" customHeight="1">
      <c r="E592" s="42"/>
      <c r="M592" s="42"/>
      <c r="N592" s="42"/>
    </row>
    <row r="593" ht="14.25" customHeight="1">
      <c r="E593" s="42"/>
      <c r="M593" s="42"/>
      <c r="N593" s="42"/>
    </row>
    <row r="594" ht="14.25" customHeight="1">
      <c r="E594" s="42"/>
      <c r="M594" s="42"/>
      <c r="N594" s="42"/>
    </row>
    <row r="595" ht="14.25" customHeight="1">
      <c r="E595" s="42"/>
      <c r="M595" s="42"/>
      <c r="N595" s="42"/>
    </row>
    <row r="596" ht="14.25" customHeight="1">
      <c r="E596" s="42"/>
      <c r="M596" s="42"/>
      <c r="N596" s="42"/>
    </row>
    <row r="597" ht="14.25" customHeight="1">
      <c r="E597" s="42"/>
      <c r="M597" s="42"/>
      <c r="N597" s="42"/>
    </row>
    <row r="598" ht="14.25" customHeight="1">
      <c r="E598" s="42"/>
      <c r="M598" s="42"/>
      <c r="N598" s="42"/>
    </row>
    <row r="599" ht="14.25" customHeight="1">
      <c r="E599" s="42"/>
      <c r="M599" s="42"/>
      <c r="N599" s="42"/>
    </row>
    <row r="600" ht="14.25" customHeight="1">
      <c r="E600" s="42"/>
      <c r="M600" s="42"/>
      <c r="N600" s="42"/>
    </row>
    <row r="601" ht="14.25" customHeight="1">
      <c r="E601" s="42"/>
      <c r="M601" s="42"/>
      <c r="N601" s="42"/>
    </row>
    <row r="602" ht="14.25" customHeight="1">
      <c r="E602" s="42"/>
      <c r="M602" s="42"/>
      <c r="N602" s="42"/>
    </row>
    <row r="603" ht="14.25" customHeight="1">
      <c r="E603" s="42"/>
      <c r="M603" s="42"/>
      <c r="N603" s="42"/>
    </row>
    <row r="604" ht="14.25" customHeight="1">
      <c r="E604" s="42"/>
      <c r="M604" s="42"/>
      <c r="N604" s="42"/>
    </row>
    <row r="605" ht="14.25" customHeight="1">
      <c r="E605" s="42"/>
      <c r="M605" s="42"/>
      <c r="N605" s="42"/>
    </row>
    <row r="606" ht="14.25" customHeight="1">
      <c r="E606" s="42"/>
      <c r="M606" s="42"/>
      <c r="N606" s="42"/>
    </row>
    <row r="607" ht="14.25" customHeight="1">
      <c r="E607" s="42"/>
      <c r="M607" s="42"/>
      <c r="N607" s="42"/>
    </row>
    <row r="608" ht="14.25" customHeight="1">
      <c r="E608" s="42"/>
      <c r="M608" s="42"/>
      <c r="N608" s="42"/>
    </row>
    <row r="609" ht="14.25" customHeight="1">
      <c r="E609" s="42"/>
      <c r="M609" s="42"/>
      <c r="N609" s="42"/>
    </row>
    <row r="610" ht="14.25" customHeight="1">
      <c r="E610" s="42"/>
      <c r="M610" s="42"/>
      <c r="N610" s="42"/>
    </row>
    <row r="611" ht="14.25" customHeight="1">
      <c r="E611" s="42"/>
      <c r="M611" s="42"/>
      <c r="N611" s="42"/>
    </row>
    <row r="612" ht="14.25" customHeight="1">
      <c r="E612" s="42"/>
      <c r="M612" s="42"/>
      <c r="N612" s="42"/>
    </row>
    <row r="613" ht="14.25" customHeight="1">
      <c r="E613" s="42"/>
      <c r="M613" s="42"/>
      <c r="N613" s="42"/>
    </row>
    <row r="614" ht="14.25" customHeight="1">
      <c r="E614" s="42"/>
      <c r="M614" s="42"/>
      <c r="N614" s="42"/>
    </row>
    <row r="615" ht="14.25" customHeight="1">
      <c r="E615" s="42"/>
      <c r="M615" s="42"/>
      <c r="N615" s="42"/>
    </row>
    <row r="616" ht="14.25" customHeight="1">
      <c r="E616" s="42"/>
      <c r="M616" s="42"/>
      <c r="N616" s="42"/>
    </row>
    <row r="617" ht="14.25" customHeight="1">
      <c r="E617" s="42"/>
      <c r="M617" s="42"/>
      <c r="N617" s="42"/>
    </row>
    <row r="618" ht="14.25" customHeight="1">
      <c r="E618" s="42"/>
      <c r="M618" s="42"/>
      <c r="N618" s="42"/>
    </row>
    <row r="619" ht="14.25" customHeight="1">
      <c r="E619" s="42"/>
      <c r="M619" s="42"/>
      <c r="N619" s="42"/>
    </row>
    <row r="620" ht="14.25" customHeight="1">
      <c r="E620" s="42"/>
      <c r="M620" s="42"/>
      <c r="N620" s="42"/>
    </row>
    <row r="621" ht="14.25" customHeight="1">
      <c r="E621" s="42"/>
      <c r="M621" s="42"/>
      <c r="N621" s="42"/>
    </row>
    <row r="622" ht="14.25" customHeight="1">
      <c r="E622" s="42"/>
      <c r="M622" s="42"/>
      <c r="N622" s="42"/>
    </row>
    <row r="623" ht="14.25" customHeight="1">
      <c r="E623" s="42"/>
      <c r="M623" s="42"/>
      <c r="N623" s="42"/>
    </row>
    <row r="624" ht="14.25" customHeight="1">
      <c r="E624" s="42"/>
      <c r="M624" s="42"/>
      <c r="N624" s="42"/>
    </row>
    <row r="625" ht="14.25" customHeight="1">
      <c r="E625" s="42"/>
      <c r="M625" s="42"/>
      <c r="N625" s="42"/>
    </row>
    <row r="626" ht="14.25" customHeight="1">
      <c r="E626" s="42"/>
      <c r="M626" s="42"/>
      <c r="N626" s="42"/>
    </row>
    <row r="627" ht="14.25" customHeight="1">
      <c r="E627" s="42"/>
      <c r="M627" s="42"/>
      <c r="N627" s="42"/>
    </row>
    <row r="628" ht="14.25" customHeight="1">
      <c r="E628" s="42"/>
      <c r="M628" s="42"/>
      <c r="N628" s="42"/>
    </row>
    <row r="629" ht="14.25" customHeight="1">
      <c r="E629" s="42"/>
      <c r="M629" s="42"/>
      <c r="N629" s="42"/>
    </row>
    <row r="630" ht="14.25" customHeight="1">
      <c r="E630" s="42"/>
      <c r="M630" s="42"/>
      <c r="N630" s="42"/>
    </row>
    <row r="631" ht="14.25" customHeight="1">
      <c r="E631" s="42"/>
      <c r="M631" s="42"/>
      <c r="N631" s="42"/>
    </row>
    <row r="632" ht="14.25" customHeight="1">
      <c r="E632" s="42"/>
      <c r="M632" s="42"/>
      <c r="N632" s="42"/>
    </row>
    <row r="633" ht="14.25" customHeight="1">
      <c r="E633" s="42"/>
      <c r="M633" s="42"/>
      <c r="N633" s="42"/>
    </row>
    <row r="634" ht="14.25" customHeight="1">
      <c r="E634" s="42"/>
      <c r="M634" s="42"/>
      <c r="N634" s="42"/>
    </row>
    <row r="635" ht="14.25" customHeight="1">
      <c r="E635" s="42"/>
      <c r="M635" s="42"/>
      <c r="N635" s="42"/>
    </row>
    <row r="636" ht="14.25" customHeight="1">
      <c r="E636" s="42"/>
      <c r="M636" s="42"/>
      <c r="N636" s="42"/>
    </row>
    <row r="637" ht="14.25" customHeight="1">
      <c r="E637" s="42"/>
      <c r="M637" s="42"/>
      <c r="N637" s="42"/>
    </row>
    <row r="638" ht="14.25" customHeight="1">
      <c r="E638" s="42"/>
      <c r="M638" s="42"/>
      <c r="N638" s="42"/>
    </row>
    <row r="639" ht="14.25" customHeight="1">
      <c r="E639" s="42"/>
      <c r="M639" s="42"/>
      <c r="N639" s="42"/>
    </row>
    <row r="640" ht="14.25" customHeight="1">
      <c r="E640" s="42"/>
      <c r="M640" s="42"/>
      <c r="N640" s="42"/>
    </row>
    <row r="641" ht="14.25" customHeight="1">
      <c r="E641" s="42"/>
      <c r="M641" s="42"/>
      <c r="N641" s="42"/>
    </row>
    <row r="642" ht="14.25" customHeight="1">
      <c r="E642" s="42"/>
      <c r="M642" s="42"/>
      <c r="N642" s="42"/>
    </row>
    <row r="643" ht="14.25" customHeight="1">
      <c r="E643" s="42"/>
      <c r="M643" s="42"/>
      <c r="N643" s="42"/>
    </row>
    <row r="644" ht="14.25" customHeight="1">
      <c r="E644" s="42"/>
      <c r="M644" s="42"/>
      <c r="N644" s="42"/>
    </row>
    <row r="645" ht="14.25" customHeight="1">
      <c r="E645" s="42"/>
      <c r="M645" s="42"/>
      <c r="N645" s="42"/>
    </row>
    <row r="646" ht="14.25" customHeight="1">
      <c r="E646" s="42"/>
      <c r="M646" s="42"/>
      <c r="N646" s="42"/>
    </row>
    <row r="647" ht="14.25" customHeight="1">
      <c r="E647" s="42"/>
      <c r="M647" s="42"/>
      <c r="N647" s="42"/>
    </row>
    <row r="648" ht="14.25" customHeight="1">
      <c r="E648" s="42"/>
      <c r="M648" s="42"/>
      <c r="N648" s="42"/>
    </row>
    <row r="649" ht="14.25" customHeight="1">
      <c r="E649" s="42"/>
      <c r="M649" s="42"/>
      <c r="N649" s="42"/>
    </row>
    <row r="650" ht="14.25" customHeight="1">
      <c r="E650" s="42"/>
      <c r="M650" s="42"/>
      <c r="N650" s="42"/>
    </row>
    <row r="651" ht="14.25" customHeight="1">
      <c r="E651" s="42"/>
      <c r="M651" s="42"/>
      <c r="N651" s="42"/>
    </row>
    <row r="652" ht="14.25" customHeight="1">
      <c r="E652" s="42"/>
      <c r="M652" s="42"/>
      <c r="N652" s="42"/>
    </row>
    <row r="653" ht="14.25" customHeight="1">
      <c r="E653" s="42"/>
      <c r="M653" s="42"/>
      <c r="N653" s="42"/>
    </row>
    <row r="654" ht="14.25" customHeight="1">
      <c r="E654" s="42"/>
      <c r="M654" s="42"/>
      <c r="N654" s="42"/>
    </row>
    <row r="655" ht="14.25" customHeight="1">
      <c r="E655" s="42"/>
      <c r="M655" s="42"/>
      <c r="N655" s="42"/>
    </row>
    <row r="656" ht="14.25" customHeight="1">
      <c r="E656" s="42"/>
      <c r="M656" s="42"/>
      <c r="N656" s="42"/>
    </row>
    <row r="657" ht="14.25" customHeight="1">
      <c r="E657" s="42"/>
      <c r="M657" s="42"/>
      <c r="N657" s="42"/>
    </row>
    <row r="658" ht="14.25" customHeight="1">
      <c r="E658" s="42"/>
      <c r="M658" s="42"/>
      <c r="N658" s="42"/>
    </row>
    <row r="659" ht="14.25" customHeight="1">
      <c r="E659" s="42"/>
      <c r="M659" s="42"/>
      <c r="N659" s="42"/>
    </row>
    <row r="660" ht="14.25" customHeight="1">
      <c r="E660" s="42"/>
      <c r="M660" s="42"/>
      <c r="N660" s="42"/>
    </row>
    <row r="661" ht="14.25" customHeight="1">
      <c r="E661" s="42"/>
      <c r="M661" s="42"/>
      <c r="N661" s="42"/>
    </row>
    <row r="662" ht="14.25" customHeight="1">
      <c r="E662" s="42"/>
      <c r="M662" s="42"/>
      <c r="N662" s="42"/>
    </row>
    <row r="663" ht="14.25" customHeight="1">
      <c r="E663" s="42"/>
      <c r="M663" s="42"/>
      <c r="N663" s="42"/>
    </row>
    <row r="664" ht="14.25" customHeight="1">
      <c r="E664" s="42"/>
      <c r="M664" s="42"/>
      <c r="N664" s="42"/>
    </row>
    <row r="665" ht="14.25" customHeight="1">
      <c r="E665" s="42"/>
      <c r="M665" s="42"/>
      <c r="N665" s="42"/>
    </row>
    <row r="666" ht="14.25" customHeight="1">
      <c r="E666" s="42"/>
      <c r="M666" s="42"/>
      <c r="N666" s="42"/>
    </row>
    <row r="667" ht="14.25" customHeight="1">
      <c r="E667" s="42"/>
      <c r="M667" s="42"/>
      <c r="N667" s="42"/>
    </row>
    <row r="668" ht="14.25" customHeight="1">
      <c r="E668" s="42"/>
      <c r="M668" s="42"/>
      <c r="N668" s="42"/>
    </row>
    <row r="669" ht="14.25" customHeight="1">
      <c r="E669" s="42"/>
      <c r="M669" s="42"/>
      <c r="N669" s="42"/>
    </row>
    <row r="670" ht="14.25" customHeight="1">
      <c r="E670" s="42"/>
      <c r="M670" s="42"/>
      <c r="N670" s="42"/>
    </row>
    <row r="671" ht="14.25" customHeight="1">
      <c r="E671" s="42"/>
      <c r="M671" s="42"/>
      <c r="N671" s="42"/>
    </row>
    <row r="672" ht="14.25" customHeight="1">
      <c r="E672" s="42"/>
      <c r="M672" s="42"/>
      <c r="N672" s="42"/>
    </row>
    <row r="673" ht="14.25" customHeight="1">
      <c r="E673" s="42"/>
      <c r="M673" s="42"/>
      <c r="N673" s="42"/>
    </row>
    <row r="674" ht="14.25" customHeight="1">
      <c r="E674" s="42"/>
      <c r="M674" s="42"/>
      <c r="N674" s="42"/>
    </row>
    <row r="675" ht="14.25" customHeight="1">
      <c r="E675" s="42"/>
      <c r="M675" s="42"/>
      <c r="N675" s="42"/>
    </row>
    <row r="676" ht="14.25" customHeight="1">
      <c r="E676" s="42"/>
      <c r="M676" s="42"/>
      <c r="N676" s="42"/>
    </row>
    <row r="677" ht="14.25" customHeight="1">
      <c r="E677" s="42"/>
      <c r="M677" s="42"/>
      <c r="N677" s="42"/>
    </row>
    <row r="678" ht="14.25" customHeight="1">
      <c r="E678" s="42"/>
      <c r="M678" s="42"/>
      <c r="N678" s="42"/>
    </row>
    <row r="679" ht="14.25" customHeight="1">
      <c r="E679" s="42"/>
      <c r="M679" s="42"/>
      <c r="N679" s="42"/>
    </row>
    <row r="680" ht="14.25" customHeight="1">
      <c r="E680" s="42"/>
      <c r="M680" s="42"/>
      <c r="N680" s="42"/>
    </row>
    <row r="681" ht="14.25" customHeight="1">
      <c r="E681" s="42"/>
      <c r="M681" s="42"/>
      <c r="N681" s="42"/>
    </row>
    <row r="682" ht="14.25" customHeight="1">
      <c r="E682" s="42"/>
      <c r="M682" s="42"/>
      <c r="N682" s="42"/>
    </row>
    <row r="683" ht="14.25" customHeight="1">
      <c r="E683" s="42"/>
      <c r="M683" s="42"/>
      <c r="N683" s="42"/>
    </row>
    <row r="684" ht="14.25" customHeight="1">
      <c r="E684" s="42"/>
      <c r="M684" s="42"/>
      <c r="N684" s="42"/>
    </row>
    <row r="685" ht="14.25" customHeight="1">
      <c r="E685" s="42"/>
      <c r="M685" s="42"/>
      <c r="N685" s="42"/>
    </row>
    <row r="686" ht="14.25" customHeight="1">
      <c r="E686" s="42"/>
      <c r="M686" s="42"/>
      <c r="N686" s="42"/>
    </row>
    <row r="687" ht="14.25" customHeight="1">
      <c r="E687" s="42"/>
      <c r="M687" s="42"/>
      <c r="N687" s="42"/>
    </row>
    <row r="688" ht="14.25" customHeight="1">
      <c r="E688" s="42"/>
      <c r="M688" s="42"/>
      <c r="N688" s="42"/>
    </row>
    <row r="689" ht="14.25" customHeight="1">
      <c r="E689" s="42"/>
      <c r="M689" s="42"/>
      <c r="N689" s="42"/>
    </row>
    <row r="690" ht="14.25" customHeight="1">
      <c r="E690" s="42"/>
      <c r="M690" s="42"/>
      <c r="N690" s="42"/>
    </row>
    <row r="691" ht="14.25" customHeight="1">
      <c r="E691" s="42"/>
      <c r="M691" s="42"/>
      <c r="N691" s="42"/>
    </row>
    <row r="692" ht="14.25" customHeight="1">
      <c r="E692" s="42"/>
      <c r="M692" s="42"/>
      <c r="N692" s="42"/>
    </row>
    <row r="693" ht="14.25" customHeight="1">
      <c r="E693" s="42"/>
      <c r="M693" s="42"/>
      <c r="N693" s="42"/>
    </row>
    <row r="694" ht="14.25" customHeight="1">
      <c r="E694" s="42"/>
      <c r="M694" s="42"/>
      <c r="N694" s="42"/>
    </row>
    <row r="695" ht="14.25" customHeight="1">
      <c r="E695" s="42"/>
      <c r="M695" s="42"/>
      <c r="N695" s="42"/>
    </row>
    <row r="696" ht="14.25" customHeight="1">
      <c r="E696" s="42"/>
      <c r="M696" s="42"/>
      <c r="N696" s="42"/>
    </row>
    <row r="697" ht="14.25" customHeight="1">
      <c r="E697" s="42"/>
      <c r="M697" s="42"/>
      <c r="N697" s="42"/>
    </row>
    <row r="698" ht="14.25" customHeight="1">
      <c r="E698" s="42"/>
      <c r="M698" s="42"/>
      <c r="N698" s="42"/>
    </row>
    <row r="699" ht="14.25" customHeight="1">
      <c r="E699" s="42"/>
      <c r="M699" s="42"/>
      <c r="N699" s="42"/>
    </row>
    <row r="700" ht="14.25" customHeight="1">
      <c r="E700" s="42"/>
      <c r="M700" s="42"/>
      <c r="N700" s="42"/>
    </row>
    <row r="701" ht="14.25" customHeight="1">
      <c r="E701" s="42"/>
      <c r="M701" s="42"/>
      <c r="N701" s="42"/>
    </row>
    <row r="702" ht="14.25" customHeight="1">
      <c r="E702" s="42"/>
      <c r="M702" s="42"/>
      <c r="N702" s="42"/>
    </row>
    <row r="703" ht="14.25" customHeight="1">
      <c r="E703" s="42"/>
      <c r="M703" s="42"/>
      <c r="N703" s="42"/>
    </row>
    <row r="704" ht="14.25" customHeight="1">
      <c r="E704" s="42"/>
      <c r="M704" s="42"/>
      <c r="N704" s="42"/>
    </row>
    <row r="705" ht="14.25" customHeight="1">
      <c r="E705" s="42"/>
      <c r="M705" s="42"/>
      <c r="N705" s="42"/>
    </row>
    <row r="706" ht="14.25" customHeight="1">
      <c r="E706" s="42"/>
      <c r="M706" s="42"/>
      <c r="N706" s="42"/>
    </row>
    <row r="707" ht="14.25" customHeight="1">
      <c r="E707" s="42"/>
      <c r="M707" s="42"/>
      <c r="N707" s="42"/>
    </row>
    <row r="708" ht="14.25" customHeight="1">
      <c r="E708" s="42"/>
      <c r="M708" s="42"/>
      <c r="N708" s="42"/>
    </row>
    <row r="709" ht="14.25" customHeight="1">
      <c r="E709" s="42"/>
      <c r="M709" s="42"/>
      <c r="N709" s="42"/>
    </row>
    <row r="710" ht="14.25" customHeight="1">
      <c r="E710" s="42"/>
      <c r="M710" s="42"/>
      <c r="N710" s="42"/>
    </row>
    <row r="711" ht="14.25" customHeight="1">
      <c r="E711" s="42"/>
      <c r="M711" s="42"/>
      <c r="N711" s="42"/>
    </row>
    <row r="712" ht="14.25" customHeight="1">
      <c r="E712" s="42"/>
      <c r="M712" s="42"/>
      <c r="N712" s="42"/>
    </row>
    <row r="713" ht="14.25" customHeight="1">
      <c r="E713" s="42"/>
      <c r="M713" s="42"/>
      <c r="N713" s="42"/>
    </row>
    <row r="714" ht="14.25" customHeight="1">
      <c r="E714" s="42"/>
      <c r="M714" s="42"/>
      <c r="N714" s="42"/>
    </row>
    <row r="715" ht="14.25" customHeight="1">
      <c r="E715" s="42"/>
      <c r="M715" s="42"/>
      <c r="N715" s="42"/>
    </row>
    <row r="716" ht="14.25" customHeight="1">
      <c r="E716" s="42"/>
      <c r="M716" s="42"/>
      <c r="N716" s="42"/>
    </row>
    <row r="717" ht="14.25" customHeight="1">
      <c r="E717" s="42"/>
      <c r="M717" s="42"/>
      <c r="N717" s="42"/>
    </row>
    <row r="718" ht="14.25" customHeight="1">
      <c r="E718" s="42"/>
      <c r="M718" s="42"/>
      <c r="N718" s="42"/>
    </row>
    <row r="719" ht="14.25" customHeight="1">
      <c r="E719" s="42"/>
      <c r="M719" s="42"/>
      <c r="N719" s="42"/>
    </row>
    <row r="720" ht="14.25" customHeight="1">
      <c r="E720" s="42"/>
      <c r="M720" s="42"/>
      <c r="N720" s="42"/>
    </row>
    <row r="721" ht="14.25" customHeight="1">
      <c r="E721" s="42"/>
      <c r="M721" s="42"/>
      <c r="N721" s="42"/>
    </row>
    <row r="722" ht="14.25" customHeight="1">
      <c r="E722" s="42"/>
      <c r="M722" s="42"/>
      <c r="N722" s="42"/>
    </row>
    <row r="723" ht="14.25" customHeight="1">
      <c r="E723" s="42"/>
      <c r="M723" s="42"/>
      <c r="N723" s="42"/>
    </row>
    <row r="724" ht="14.25" customHeight="1">
      <c r="E724" s="42"/>
      <c r="M724" s="42"/>
      <c r="N724" s="42"/>
    </row>
    <row r="725" ht="14.25" customHeight="1">
      <c r="E725" s="42"/>
      <c r="M725" s="42"/>
      <c r="N725" s="42"/>
    </row>
    <row r="726" ht="14.25" customHeight="1">
      <c r="E726" s="42"/>
      <c r="M726" s="42"/>
      <c r="N726" s="42"/>
    </row>
    <row r="727" ht="14.25" customHeight="1">
      <c r="E727" s="42"/>
      <c r="M727" s="42"/>
      <c r="N727" s="42"/>
    </row>
    <row r="728" ht="14.25" customHeight="1">
      <c r="E728" s="42"/>
      <c r="M728" s="42"/>
      <c r="N728" s="42"/>
    </row>
    <row r="729" ht="14.25" customHeight="1">
      <c r="E729" s="42"/>
      <c r="M729" s="42"/>
      <c r="N729" s="42"/>
    </row>
    <row r="730" ht="14.25" customHeight="1">
      <c r="E730" s="42"/>
      <c r="M730" s="42"/>
      <c r="N730" s="42"/>
    </row>
    <row r="731" ht="14.25" customHeight="1">
      <c r="E731" s="42"/>
      <c r="M731" s="42"/>
      <c r="N731" s="42"/>
    </row>
    <row r="732" ht="14.25" customHeight="1">
      <c r="E732" s="42"/>
      <c r="M732" s="42"/>
      <c r="N732" s="42"/>
    </row>
    <row r="733" ht="14.25" customHeight="1">
      <c r="E733" s="42"/>
      <c r="M733" s="42"/>
      <c r="N733" s="42"/>
    </row>
    <row r="734" ht="14.25" customHeight="1">
      <c r="E734" s="42"/>
      <c r="M734" s="42"/>
      <c r="N734" s="42"/>
    </row>
    <row r="735" ht="14.25" customHeight="1">
      <c r="E735" s="42"/>
      <c r="M735" s="42"/>
      <c r="N735" s="42"/>
    </row>
    <row r="736" ht="14.25" customHeight="1">
      <c r="E736" s="42"/>
      <c r="M736" s="42"/>
      <c r="N736" s="42"/>
    </row>
    <row r="737" ht="14.25" customHeight="1">
      <c r="E737" s="42"/>
      <c r="M737" s="42"/>
      <c r="N737" s="42"/>
    </row>
    <row r="738" ht="14.25" customHeight="1">
      <c r="E738" s="42"/>
      <c r="M738" s="42"/>
      <c r="N738" s="42"/>
    </row>
    <row r="739" ht="14.25" customHeight="1">
      <c r="E739" s="42"/>
      <c r="M739" s="42"/>
      <c r="N739" s="42"/>
    </row>
    <row r="740" ht="14.25" customHeight="1">
      <c r="E740" s="42"/>
      <c r="M740" s="42"/>
      <c r="N740" s="42"/>
    </row>
    <row r="741" ht="14.25" customHeight="1">
      <c r="E741" s="42"/>
      <c r="M741" s="42"/>
      <c r="N741" s="42"/>
    </row>
    <row r="742" ht="14.25" customHeight="1">
      <c r="E742" s="42"/>
      <c r="M742" s="42"/>
      <c r="N742" s="42"/>
    </row>
    <row r="743" ht="14.25" customHeight="1">
      <c r="E743" s="42"/>
      <c r="M743" s="42"/>
      <c r="N743" s="42"/>
    </row>
    <row r="744" ht="14.25" customHeight="1">
      <c r="E744" s="42"/>
      <c r="M744" s="42"/>
      <c r="N744" s="42"/>
    </row>
    <row r="745" ht="14.25" customHeight="1">
      <c r="E745" s="42"/>
      <c r="M745" s="42"/>
      <c r="N745" s="42"/>
    </row>
    <row r="746" ht="14.25" customHeight="1">
      <c r="E746" s="42"/>
      <c r="M746" s="42"/>
      <c r="N746" s="42"/>
    </row>
    <row r="747" ht="14.25" customHeight="1">
      <c r="E747" s="42"/>
      <c r="M747" s="42"/>
      <c r="N747" s="42"/>
    </row>
    <row r="748" ht="14.25" customHeight="1">
      <c r="E748" s="42"/>
      <c r="M748" s="42"/>
      <c r="N748" s="42"/>
    </row>
    <row r="749" ht="14.25" customHeight="1">
      <c r="E749" s="42"/>
      <c r="M749" s="42"/>
      <c r="N749" s="42"/>
    </row>
    <row r="750" ht="14.25" customHeight="1">
      <c r="E750" s="42"/>
      <c r="M750" s="42"/>
      <c r="N750" s="42"/>
    </row>
    <row r="751" ht="14.25" customHeight="1">
      <c r="E751" s="42"/>
      <c r="M751" s="42"/>
      <c r="N751" s="42"/>
    </row>
    <row r="752" ht="14.25" customHeight="1">
      <c r="E752" s="42"/>
      <c r="M752" s="42"/>
      <c r="N752" s="42"/>
    </row>
    <row r="753" ht="14.25" customHeight="1">
      <c r="E753" s="42"/>
      <c r="M753" s="42"/>
      <c r="N753" s="42"/>
    </row>
    <row r="754" ht="14.25" customHeight="1">
      <c r="E754" s="42"/>
      <c r="M754" s="42"/>
      <c r="N754" s="42"/>
    </row>
    <row r="755" ht="14.25" customHeight="1">
      <c r="E755" s="42"/>
      <c r="M755" s="42"/>
      <c r="N755" s="42"/>
    </row>
    <row r="756" ht="14.25" customHeight="1">
      <c r="E756" s="42"/>
      <c r="M756" s="42"/>
      <c r="N756" s="42"/>
    </row>
    <row r="757" ht="14.25" customHeight="1">
      <c r="E757" s="42"/>
      <c r="M757" s="42"/>
      <c r="N757" s="42"/>
    </row>
    <row r="758" ht="14.25" customHeight="1">
      <c r="E758" s="42"/>
      <c r="M758" s="42"/>
      <c r="N758" s="42"/>
    </row>
    <row r="759" ht="14.25" customHeight="1">
      <c r="E759" s="42"/>
      <c r="M759" s="42"/>
      <c r="N759" s="42"/>
    </row>
    <row r="760" ht="14.25" customHeight="1">
      <c r="E760" s="42"/>
      <c r="M760" s="42"/>
      <c r="N760" s="42"/>
    </row>
    <row r="761" ht="14.25" customHeight="1">
      <c r="E761" s="42"/>
      <c r="M761" s="42"/>
      <c r="N761" s="42"/>
    </row>
    <row r="762" ht="14.25" customHeight="1">
      <c r="E762" s="42"/>
      <c r="M762" s="42"/>
      <c r="N762" s="42"/>
    </row>
    <row r="763" ht="14.25" customHeight="1">
      <c r="E763" s="42"/>
      <c r="M763" s="42"/>
      <c r="N763" s="42"/>
    </row>
    <row r="764" ht="14.25" customHeight="1">
      <c r="E764" s="42"/>
      <c r="M764" s="42"/>
      <c r="N764" s="42"/>
    </row>
    <row r="765" ht="14.25" customHeight="1">
      <c r="E765" s="42"/>
      <c r="M765" s="42"/>
      <c r="N765" s="42"/>
    </row>
    <row r="766" ht="14.25" customHeight="1">
      <c r="E766" s="42"/>
      <c r="M766" s="42"/>
      <c r="N766" s="42"/>
    </row>
    <row r="767" ht="14.25" customHeight="1">
      <c r="E767" s="42"/>
      <c r="M767" s="42"/>
      <c r="N767" s="42"/>
    </row>
  </sheetData>
  <autoFilter ref="$A$1:$O$819">
    <sortState ref="A1:O819">
      <sortCondition ref="C1:C819"/>
    </sortState>
  </autoFilter>
  <conditionalFormatting sqref="B1 B124:B819">
    <cfRule type="expression" dxfId="1" priority="1">
      <formula>COUNTIF($B:$B,$B1)&gt;1</formula>
    </cfRule>
  </conditionalFormatting>
  <conditionalFormatting sqref="A1 A124:A819">
    <cfRule type="expression" dxfId="2" priority="2">
      <formula>COUNTIF($A:$A,$A1)&gt;1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5.0"/>
    <col customWidth="1" min="2" max="2" width="14.71"/>
    <col customWidth="1" min="3" max="3" width="5.71"/>
    <col customWidth="1" min="4" max="4" width="10.86"/>
    <col customWidth="1" min="5" max="5" width="19.86"/>
    <col customWidth="1" min="6" max="9" width="8.71"/>
    <col customWidth="1" min="10" max="10" width="25.43"/>
    <col customWidth="1" min="11" max="11" width="40.86"/>
    <col customWidth="1" min="12" max="12" width="5.71"/>
    <col customWidth="1" min="13" max="13" width="17.0"/>
    <col customWidth="1" min="14" max="14" width="5.71"/>
    <col customWidth="1" min="15" max="16" width="8.71"/>
  </cols>
  <sheetData>
    <row r="1" ht="14.25" customHeight="1">
      <c r="A1" s="39" t="s">
        <v>1282</v>
      </c>
      <c r="B1" s="39" t="s">
        <v>1283</v>
      </c>
      <c r="C1" s="40" t="s">
        <v>1314</v>
      </c>
      <c r="D1" s="41" t="s">
        <v>1315</v>
      </c>
      <c r="E1" s="41" t="s">
        <v>1</v>
      </c>
      <c r="F1" s="40" t="s">
        <v>4</v>
      </c>
      <c r="G1" s="40" t="s">
        <v>5</v>
      </c>
      <c r="H1" s="40" t="s">
        <v>6</v>
      </c>
      <c r="I1" s="40" t="s">
        <v>1316</v>
      </c>
      <c r="J1" s="40" t="s">
        <v>1317</v>
      </c>
      <c r="L1" s="40" t="s">
        <v>1314</v>
      </c>
      <c r="M1" s="41" t="s">
        <v>1</v>
      </c>
      <c r="N1" s="40"/>
      <c r="O1" s="41"/>
      <c r="P1" s="39"/>
    </row>
    <row r="2">
      <c r="A2" s="44" t="str">
        <f>AlFayoumi!A5</f>
        <v>O1779192335543</v>
      </c>
      <c r="B2" s="44" t="str">
        <f>AlFayoumi!B5</f>
        <v>C1768653088625</v>
      </c>
      <c r="C2" s="43">
        <f>IFERROR(VLOOKUP(B2, Routes!B:G, 6, FALSE), "")</f>
        <v>1</v>
      </c>
      <c r="D2" s="45" t="str">
        <f>VLOOKUP(A2, AlFayoumi!A:O, 5, FALSE)</f>
        <v>0529157624</v>
      </c>
      <c r="E2" s="29" t="str">
        <f>VLOOKUP(A2, AlFayoumi!A:O, 4, FALSE)</f>
        <v>شيماء</v>
      </c>
      <c r="F2" s="44" t="str">
        <f>IFERROR(VLOOKUP(B2, DataBase!A:O, 5, FALSE), "No Order Found")</f>
        <v>Al danah</v>
      </c>
      <c r="G2" s="44" t="str">
        <f>IFERROR(VLOOKUP(B2, DataBase!A:O, 6, FALSE), "No Order Found")</f>
        <v>شارع الكترا نفس بناية مطعم الابراهيمي شقة ٥٠٣</v>
      </c>
      <c r="H2" s="46" t="str">
        <f>IFERROR(VLOOKUP(B2, DataBase!A:O, 7, FALSE), "No Order Found")</f>
        <v>https://www.google.com/maps?q=24.488376387234172,54.36703744083892</v>
      </c>
      <c r="I2" s="43" t="s">
        <v>1318</v>
      </c>
      <c r="J2" s="44" t="str">
        <f>IFERROR(VLOOKUP(A2, AlFayoumi!A:O, 3, FALSE), "No Order Found")</f>
        <v>عوزه 10فرخات 1500الي 1600
2كيلو رجول</v>
      </c>
      <c r="K2" s="12" t="str">
        <f t="shared" ref="K2:K4" si="1">"🧾 رقم " &amp; C2 &amp; CHAR(10) &amp; "📞 " &amp; D2 &amp; CHAR(10) &amp; "👤 " &amp; E2 &amp; CHAR(10) &amp; "📍 " &amp; F2 &amp; " - " &amp; G2 &amp; CHAR(10) &amp; "🗺️ " &amp; H2 &amp; CHAR(10) &amp; "🛒 الاوردر 👇" &amp; CHAR(10) &amp; J2 &amp; CHAR(10) &amp; "---------------------------"</f>
        <v>🧾 رقم 1
📞 0529157624
👤 شيماء
📍 Al danah - شارع الكترا نفس بناية مطعم الابراهيمي شقة ٥٠٣
🗺️ https://www.google.com/maps?q=24.488376387234172,54.36703744083892
🛒 الاوردر 👇
عوزه 10فرخات 1500الي 1600
2كيلو رجول
---------------------------</v>
      </c>
      <c r="L2" s="43">
        <v>1.0</v>
      </c>
      <c r="M2" s="29" t="s">
        <v>952</v>
      </c>
      <c r="N2" s="43" t="s">
        <v>1319</v>
      </c>
      <c r="O2" s="29" t="s">
        <v>755</v>
      </c>
    </row>
    <row r="3" ht="14.25" customHeight="1">
      <c r="A3" s="44" t="str">
        <f>AlFayoumi!A2</f>
        <v>O1779018370262</v>
      </c>
      <c r="B3" s="44" t="str">
        <f>AlFayoumi!B2</f>
        <v>C1776884700619</v>
      </c>
      <c r="C3" s="43">
        <f>IFERROR(VLOOKUP(B3, Routes!B:G, 6, FALSE), "")</f>
        <v>2</v>
      </c>
      <c r="D3" s="45" t="str">
        <f>VLOOKUP(A3, AlFayoumi!A:O, 5, FALSE)</f>
        <v>0523020946</v>
      </c>
      <c r="E3" s="29" t="str">
        <f>VLOOKUP(A3, AlFayoumi!A:O, 4, FALSE)</f>
        <v>ملك عمرو</v>
      </c>
      <c r="F3" s="44" t="str">
        <f>IFERROR(VLOOKUP(B3, DataBase!A:O, 5, FALSE), "No Order Found")</f>
        <v>امام شارع الدفاع</v>
      </c>
      <c r="G3" s="44" t="str">
        <f>IFERROR(VLOOKUP(B3, DataBase!A:O, 6, FALSE), "No Order Found")</f>
        <v>شارع الفلاح مقابل وير مارت بنايه فريش بالاس الطابق 1408</v>
      </c>
      <c r="H3" s="46" t="str">
        <f>IFERROR(VLOOKUP(B3, DataBase!A:O, 7, FALSE), "No Order Found")</f>
        <v>https://www.google.com/maps?q=24.476906066431106,54.367972972393915</v>
      </c>
      <c r="I3" s="43" t="s">
        <v>1318</v>
      </c>
      <c r="J3" s="44" t="str">
        <f>IFERROR(VLOOKUP(A3, AlFayoumi!A:O, 3, FALSE), "No Order Found")</f>
        <v>20 دجاجه وزن ١٢٠٠ سعر الدجاجه ٢٠ درهم 
كل دجاجه لحالها</v>
      </c>
      <c r="K3" s="12" t="str">
        <f t="shared" si="1"/>
        <v>🧾 رقم 2
📞 0523020946
👤 ملك عمرو
📍 امام شارع الدفاع - شارع الفلاح مقابل وير مارت بنايه فريش بالاس الطابق 1408
🗺️ https://www.google.com/maps?q=24.476906066431106,54.367972972393915
🛒 الاوردر 👇
20 دجاجه وزن ١٢٠٠ سعر الدجاجه ٢٠ درهم 
كل دجاجه لحالها
---------------------------</v>
      </c>
      <c r="L3" s="43">
        <v>2.0</v>
      </c>
      <c r="M3" s="29" t="s">
        <v>1023</v>
      </c>
      <c r="N3" s="12">
        <v>3.0</v>
      </c>
      <c r="O3" s="29" t="s">
        <v>16</v>
      </c>
    </row>
    <row r="4" ht="14.25" customHeight="1">
      <c r="A4" s="44" t="str">
        <f>AlFayoumi!A8</f>
        <v>O1779206737453</v>
      </c>
      <c r="B4" s="44" t="str">
        <f>AlFayoumi!B8</f>
        <v>C1778243253026</v>
      </c>
      <c r="C4" s="43">
        <f>IFERROR(VLOOKUP(B4, Routes!B:G, 6, FALSE), "")</f>
        <v>3</v>
      </c>
      <c r="D4" s="45" t="str">
        <f>VLOOKUP(A4, AlFayoumi!A:O, 5, FALSE)</f>
        <v>0557827324</v>
      </c>
      <c r="E4" s="29" t="str">
        <f>VLOOKUP(A4, AlFayoumi!A:O, 4, FALSE)</f>
        <v>دعاء صالح</v>
      </c>
      <c r="F4" s="44" t="str">
        <f>IFERROR(VLOOKUP(B4, DataBase!A:O, 5, FALSE), "No Order Found")</f>
        <v>شارع النجده</v>
      </c>
      <c r="G4" s="44" t="str">
        <f>IFERROR(VLOOKUP(B4, DataBase!A:O, 6, FALSE), "No Order Found")</f>
        <v>شارع للنجده</v>
      </c>
      <c r="H4" s="46" t="str">
        <f>IFERROR(VLOOKUP(B4, DataBase!A:O, 7, FALSE), "No Order Found")</f>
        <v>https://www.google.com/maps?q=24.4839877,54.3736343</v>
      </c>
      <c r="I4" s="43" t="s">
        <v>1318</v>
      </c>
      <c r="J4" s="44" t="str">
        <f>IFERROR(VLOOKUP(A4, AlFayoumi!A:O, 3, FALSE), "No Order Found")</f>
        <v>١٢ دجاجه بيضا وزن ١٢٠٠</v>
      </c>
      <c r="K4" s="12" t="str">
        <f t="shared" si="1"/>
        <v>🧾 رقم 3
📞 0557827324
👤 دعاء صالح
📍 شارع النجده - شارع للنجده
🗺️ https://www.google.com/maps?q=24.4839877,54.3736343
🛒 الاوردر 👇
١٢ دجاجه بيضا وزن ١٢٠٠
---------------------------</v>
      </c>
      <c r="L4" s="43">
        <v>3.0</v>
      </c>
      <c r="M4" s="29" t="s">
        <v>96</v>
      </c>
      <c r="N4" s="12">
        <v>7.0</v>
      </c>
      <c r="O4" s="29" t="s">
        <v>90</v>
      </c>
    </row>
    <row r="5" ht="14.25" customHeight="1">
      <c r="A5" s="44" t="str">
        <f>AlFayoumi!A7</f>
        <v>O1779196437405</v>
      </c>
      <c r="B5" s="44" t="str">
        <f>AlFayoumi!B7</f>
        <v>C1769324778781</v>
      </c>
      <c r="C5" s="43">
        <f>IFERROR(VLOOKUP(B5, Routes!B:G, 6, FALSE), "")</f>
        <v>4</v>
      </c>
      <c r="D5" s="45" t="str">
        <f>VLOOKUP(A5, AlFayoumi!A:O, 5, FALSE)</f>
        <v>0529391713</v>
      </c>
      <c r="E5" s="29" t="str">
        <f>VLOOKUP(A5, AlFayoumi!A:O, 4, FALSE)</f>
        <v>Eman Elkoumy</v>
      </c>
      <c r="F5" s="44" t="str">
        <f>IFERROR(VLOOKUP(B5, DataBase!A:O, 5, FALSE), "No Order Found")</f>
        <v>منطقة الريم</v>
      </c>
      <c r="G5" s="44" t="str">
        <f>IFERROR(VLOOKUP(B5, DataBase!A:O, 6, FALSE), "No Order Found")</f>
        <v>النور تاور ١٦٠٦</v>
      </c>
      <c r="H5" s="46" t="str">
        <f>IFERROR(VLOOKUP(B5, DataBase!A:O, 7, FALSE), "No Order Found")</f>
        <v>https://www.google.com/maps?q=24.4907523,54.4000173</v>
      </c>
      <c r="I5" s="43" t="s">
        <v>1318</v>
      </c>
      <c r="J5" s="44" t="str">
        <f>IFERROR(VLOOKUP(A5, AlFayoumi!A:O, 3, FALSE), "No Order Found")</f>
        <v>٤ كيلو بانيه مش متقطع 
٤ كيلو اوراك وزن ١٥٠٠ كل كيلو لوحده</v>
      </c>
      <c r="K5" s="12" t="str">
        <f>"🧾 رقم " &amp; C5 &amp; CHAR(10) &amp; "📞 " &amp; L5 &amp; D5 &amp; CHAR(10) &amp; "👤 " &amp; E5 &amp; CHAR(10) &amp; "📍 " &amp; F5 &amp; " - " &amp; G5 &amp; CHAR(10) &amp; "🗺️ " &amp; H5 &amp; CHAR(10) &amp; "🛒 الاوردر 👇" &amp; CHAR(10) &amp; J5 &amp; CHAR(10) &amp; "---------------------------"</f>
        <v>🧾 رقم 4
📞 40529391713
👤 Eman Elkoumy
📍 منطقة الريم - النور تاور ١٦٠٦
🗺️ https://www.google.com/maps?q=24.4907523,54.4000173
🛒 الاوردر 👇
٤ كيلو بانيه مش متقطع 
٤ كيلو اوراك وزن ١٥٠٠ كل كيلو لوحده
---------------------------</v>
      </c>
      <c r="L5" s="43">
        <v>4.0</v>
      </c>
      <c r="M5" s="29" t="s">
        <v>338</v>
      </c>
      <c r="N5" s="12">
        <v>11.0</v>
      </c>
      <c r="O5" s="29" t="s">
        <v>34</v>
      </c>
    </row>
    <row r="6" ht="14.25" customHeight="1">
      <c r="A6" s="44" t="str">
        <f>AlFayoumi!A12</f>
        <v>O1779289844939</v>
      </c>
      <c r="B6" s="44" t="str">
        <f>AlFayoumi!B12</f>
        <v>C1776633916549</v>
      </c>
      <c r="C6" s="43">
        <f>IFERROR(VLOOKUP(B6, Routes!B:G, 6, FALSE), "")</f>
        <v>5</v>
      </c>
      <c r="D6" s="45" t="str">
        <f>VLOOKUP(A6, AlFayoumi!A:O, 5, FALSE)</f>
        <v>0585284234</v>
      </c>
      <c r="E6" s="29" t="str">
        <f>VLOOKUP(A6, AlFayoumi!A:O, 4, FALSE)</f>
        <v>Aya</v>
      </c>
      <c r="F6" s="44" t="str">
        <f>IFERROR(VLOOKUP(B6, DataBase!A:O, 5, FALSE), "No Order Found")</f>
        <v>المقطع</v>
      </c>
      <c r="G6" s="44" t="str">
        <f>IFERROR(VLOOKUP(B6, DataBase!A:O, 6, FALSE), "No Order Found")</f>
        <v>بين الجسرين شارع ام عشر بالقرب من توكيل bmw</v>
      </c>
      <c r="H6" s="46" t="str">
        <f>IFERROR(VLOOKUP(B6, DataBase!A:O, 7, FALSE), "No Order Found")</f>
        <v>https://www.google.com/maps?q=24.413685,54.495136</v>
      </c>
      <c r="I6" s="43" t="s">
        <v>1318</v>
      </c>
      <c r="J6" s="44" t="str">
        <f>IFERROR(VLOOKUP(A6, AlFayoumi!A:O, 3, FALSE), "No Order Found")</f>
        <v>٢ كيلو صدور سليمه مش متقطعه 
 ٣ فرخات من ١٧٠٠الي ١٨٠٠</v>
      </c>
      <c r="K6" s="12" t="str">
        <f t="shared" ref="K6:K15" si="2">"🧾 رقم " &amp; C6 &amp; CHAR(10) &amp; "📞 " &amp; D6 &amp; CHAR(10) &amp; "👤 " &amp; E6 &amp; CHAR(10) &amp; "📍 " &amp; F6 &amp; " - " &amp; G6 &amp; CHAR(10) &amp; "🗺️ " &amp; H6 &amp; CHAR(10) &amp; "🛒 الاوردر 👇" &amp; CHAR(10) &amp; J6 &amp; CHAR(10) &amp; "---------------------------"</f>
        <v>🧾 رقم 5
📞 0585284234
👤 Aya
📍 المقطع - بين الجسرين شارع ام عشر بالقرب من توكيل bmw
🗺️ https://www.google.com/maps?q=24.413685,54.495136
🛒 الاوردر 👇
٢ كيلو صدور سليمه مش متقطعه 
 ٣ فرخات من ١٧٠٠الي ١٨٠٠
---------------------------</v>
      </c>
      <c r="L6" s="43">
        <v>5.0</v>
      </c>
      <c r="M6" s="29" t="s">
        <v>994</v>
      </c>
      <c r="N6" s="12">
        <v>12.0</v>
      </c>
      <c r="O6" s="29" t="s">
        <v>989</v>
      </c>
    </row>
    <row r="7" ht="14.25" customHeight="1">
      <c r="A7" s="44" t="str">
        <f>AlFayoumi!A6</f>
        <v>O1779192763177</v>
      </c>
      <c r="B7" s="44" t="str">
        <f>AlFayoumi!B6</f>
        <v>C1778325015999</v>
      </c>
      <c r="C7" s="43">
        <f>IFERROR(VLOOKUP(B7, Routes!B:G, 6, FALSE), "")</f>
        <v>6</v>
      </c>
      <c r="D7" s="45" t="str">
        <f>VLOOKUP(A7, AlFayoumi!A:O, 5, FALSE)</f>
        <v>0528204091</v>
      </c>
      <c r="E7" s="29" t="str">
        <f>VLOOKUP(A7, AlFayoumi!A:O, 4, FALSE)</f>
        <v>Esraa Elwakel</v>
      </c>
      <c r="F7" s="44" t="str">
        <f>IFERROR(VLOOKUP(B7, DataBase!A:O, 5, FALSE), "No Order Found")</f>
        <v>ربدان</v>
      </c>
      <c r="G7" s="44" t="str">
        <f>IFERROR(VLOOKUP(B7, DataBase!A:O, 6, FALSE), "No Order Found")</f>
        <v>شارع المثابرة بنايه 29 الطابق الثالث نفس بناية مغسلة رويال روز</v>
      </c>
      <c r="H7" s="46" t="str">
        <f>IFERROR(VLOOKUP(B7, DataBase!A:O, 7, FALSE), "No Order Found")</f>
        <v>https://www.google.com/maps?q=24.405996821373577,54.517312166606</v>
      </c>
      <c r="I7" s="43" t="s">
        <v>1318</v>
      </c>
      <c r="J7" s="44" t="str">
        <f>IFERROR(VLOOKUP(A7, AlFayoumi!A:O, 3, FALSE), "No Order Found")</f>
        <v>عدد 5 دجاج ابيضّ وزن 1200
كيلو بانيه كل نص لوحده
كيلو صدور بدون عظم كل نصف لوحده</v>
      </c>
      <c r="K7" s="12" t="str">
        <f t="shared" si="2"/>
        <v>🧾 رقم 6
📞 0528204091
👤 Esraa Elwakel
📍 ربدان - شارع المثابرة بنايه 29 الطابق الثالث نفس بناية مغسلة رويال روز
🗺️ https://www.google.com/maps?q=24.405996821373577,54.517312166606
🛒 الاوردر 👇
عدد 5 دجاج ابيضّ وزن 1200
كيلو بانيه كل نص لوحده
كيلو صدور بدون عظم كل نصف لوحده
---------------------------</v>
      </c>
      <c r="L7" s="43">
        <v>6.0</v>
      </c>
      <c r="M7" s="29" t="s">
        <v>1170</v>
      </c>
      <c r="N7" s="12">
        <v>13.0</v>
      </c>
      <c r="O7" s="29" t="s">
        <v>1097</v>
      </c>
    </row>
    <row r="8" ht="14.25" customHeight="1">
      <c r="A8" s="44" t="str">
        <f>AlFayoumi!A9</f>
        <v>O1779219097726</v>
      </c>
      <c r="B8" s="44" t="str">
        <f>AlFayoumi!B9</f>
        <v>C1776515849146</v>
      </c>
      <c r="C8" s="43">
        <f>IFERROR(VLOOKUP(B8, Routes!B:G, 6, FALSE), "")</f>
        <v>7</v>
      </c>
      <c r="D8" s="45" t="str">
        <f>VLOOKUP(A8, AlFayoumi!A:O, 5, FALSE)</f>
        <v>0502358249</v>
      </c>
      <c r="E8" s="29" t="str">
        <f>VLOOKUP(A8, AlFayoumi!A:O, 4, FALSE)</f>
        <v>هاجر محمد</v>
      </c>
      <c r="F8" s="44" t="str">
        <f>IFERROR(VLOOKUP(B8, DataBase!A:O, 5, FALSE), "No Order Found")</f>
        <v>ربدان</v>
      </c>
      <c r="G8" s="44" t="str">
        <f>IFERROR(VLOOKUP(B8, DataBase!A:O, 6, FALSE), "No Order Found")</f>
        <v>ربدان /شارع اللزيمة /فيلا 40/الدور الثاني شقة 29</v>
      </c>
      <c r="H8" s="46" t="str">
        <f>IFERROR(VLOOKUP(B8, DataBase!A:O, 7, FALSE), "No Order Found")</f>
        <v>https://www.google.com/maps?q=24.4018107,54.519146</v>
      </c>
      <c r="I8" s="43" t="s">
        <v>1318</v>
      </c>
      <c r="J8" s="44" t="str">
        <f>IFERROR(VLOOKUP(A8, AlFayoumi!A:O, 3, FALSE), "No Order Found")</f>
        <v>٥ فراخ أبيض وزن 1700_1800
نص كيلو رجل</v>
      </c>
      <c r="K8" s="12" t="str">
        <f t="shared" si="2"/>
        <v>🧾 رقم 7
📞 0502358249
👤 هاجر محمد
📍 ربدان - ربدان /شارع اللزيمة /فيلا 40/الدور الثاني شقة 29
🗺️ https://www.google.com/maps?q=24.4018107,54.519146
🛒 الاوردر 👇
٥ فراخ أبيض وزن 1700_1800
نص كيلو رجل
---------------------------</v>
      </c>
      <c r="L8" s="43">
        <v>7.0</v>
      </c>
      <c r="M8" s="29" t="s">
        <v>973</v>
      </c>
      <c r="N8" s="12">
        <v>14.0</v>
      </c>
      <c r="O8" s="29" t="s">
        <v>1023</v>
      </c>
    </row>
    <row r="9" ht="14.25" customHeight="1">
      <c r="A9" s="44" t="str">
        <f>AlFayoumi!A11</f>
        <v>O1779285905718</v>
      </c>
      <c r="B9" s="44" t="str">
        <f>AlFayoumi!B11</f>
        <v>C1768655293606</v>
      </c>
      <c r="C9" s="43">
        <f>IFERROR(VLOOKUP(B9, Routes!B:G, 6, FALSE), "")</f>
        <v>8</v>
      </c>
      <c r="D9" s="45" t="str">
        <f>VLOOKUP(A9, AlFayoumi!A:O, 5, FALSE)</f>
        <v>0555060297</v>
      </c>
      <c r="E9" s="29" t="str">
        <f>VLOOKUP(A9, AlFayoumi!A:O, 4, FALSE)</f>
        <v>Naglaa Eslam</v>
      </c>
      <c r="F9" s="44" t="str">
        <f>IFERROR(VLOOKUP(B9, DataBase!A:O, 5, FALSE), "No Order Found")</f>
        <v>خليفه أ</v>
      </c>
      <c r="G9" s="44" t="str">
        <f>IFERROR(VLOOKUP(B9, DataBase!A:O, 6, FALSE), "No Order Found")</f>
        <v>٩١ شارع الكهرمان خليفه خلف الفرسان مول</v>
      </c>
      <c r="H9" s="46" t="str">
        <f>IFERROR(VLOOKUP(B9, DataBase!A:O, 7, FALSE), "No Order Found")</f>
        <v>https://www.google.com/maps?q=24.396056135766734,54.5660779698686</v>
      </c>
      <c r="I9" s="43" t="s">
        <v>1318</v>
      </c>
      <c r="J9" s="44" t="str">
        <f>IFERROR(VLOOKUP(A9, AlFayoumi!A:O, 3, FALSE), "No Order Found")</f>
        <v>3 فراخات 1200 جرام</v>
      </c>
      <c r="K9" s="12" t="str">
        <f t="shared" si="2"/>
        <v>🧾 رقم 8
📞 0555060297
👤 Naglaa Eslam
📍 خليفه أ - ٩١ شارع الكهرمان خليفه خلف الفرسان مول
🗺️ https://www.google.com/maps?q=24.396056135766734,54.5660779698686
🛒 الاوردر 👇
3 فراخات 1200 جرام
---------------------------</v>
      </c>
      <c r="L9" s="43">
        <v>8.0</v>
      </c>
      <c r="M9" s="29" t="s">
        <v>28</v>
      </c>
      <c r="N9" s="12">
        <v>15.0</v>
      </c>
      <c r="O9" s="29" t="s">
        <v>687</v>
      </c>
    </row>
    <row r="10" ht="14.25" customHeight="1">
      <c r="A10" s="44" t="str">
        <f>AlFayoumi!A10</f>
        <v>O1779249920181</v>
      </c>
      <c r="B10" s="44" t="str">
        <f>AlFayoumi!B10</f>
        <v>C1770412918700</v>
      </c>
      <c r="C10" s="43">
        <f>IFERROR(VLOOKUP(B10, Routes!B:G, 6, FALSE), "")</f>
        <v>9</v>
      </c>
      <c r="D10" s="45" t="str">
        <f>VLOOKUP(A10, AlFayoumi!A:O, 5, FALSE)</f>
        <v>0564507569</v>
      </c>
      <c r="E10" s="29" t="str">
        <f>VLOOKUP(A10, AlFayoumi!A:O, 4, FALSE)</f>
        <v>Heba Motawea</v>
      </c>
      <c r="F10" s="44" t="str">
        <f>IFERROR(VLOOKUP(B10, DataBase!A:O, 5, FALSE), "No Order Found")</f>
        <v>شخبوط</v>
      </c>
      <c r="G10" s="44" t="str">
        <f>IFERROR(VLOOKUP(B10, DataBase!A:O, 6, FALSE), "No Order Found")</f>
        <v>شخبوط أبوظبي</v>
      </c>
      <c r="H10" s="46" t="str">
        <f>IFERROR(VLOOKUP(B10, DataBase!A:O, 7, FALSE), "No Order Found")</f>
        <v>https://www.google.com/maps?q=24.3795837,54.6433836</v>
      </c>
      <c r="I10" s="43" t="s">
        <v>1318</v>
      </c>
      <c r="J10" s="44" t="str">
        <f>IFERROR(VLOOKUP(A10, AlFayoumi!A:O, 3, FALSE), "No Order Found")</f>
        <v>٥ دجاج أبيض من ١٥٠٠-١٦٠٠</v>
      </c>
      <c r="K10" s="12" t="str">
        <f t="shared" si="2"/>
        <v>🧾 رقم 9
📞 0564507569
👤 Heba Motawea
📍 شخبوط - شخبوط أبوظبي
🗺️ https://www.google.com/maps?q=24.3795837,54.6433836
🛒 الاوردر 👇
٥ دجاج أبيض من ١٥٠٠-١٦٠٠
---------------------------</v>
      </c>
      <c r="L10" s="43">
        <v>9.0</v>
      </c>
      <c r="M10" s="29" t="s">
        <v>601</v>
      </c>
      <c r="N10" s="12">
        <v>16.0</v>
      </c>
      <c r="O10" s="29" t="s">
        <v>727</v>
      </c>
    </row>
    <row r="11" ht="14.25" customHeight="1">
      <c r="A11" s="44" t="str">
        <f>AlFayoumi!A4</f>
        <v>O1779192174812</v>
      </c>
      <c r="B11" s="44" t="str">
        <f>AlFayoumi!B4</f>
        <v>C1778181837755</v>
      </c>
      <c r="C11" s="43">
        <f>IFERROR(VLOOKUP(B11, Routes!B:G, 6, FALSE), "")</f>
        <v>10</v>
      </c>
      <c r="D11" s="45" t="str">
        <f>VLOOKUP(A11, AlFayoumi!A:O, 5, FALSE)</f>
        <v>0508168275</v>
      </c>
      <c r="E11" s="29" t="str">
        <f>VLOOKUP(A11, AlFayoumi!A:O, 4, FALSE)</f>
        <v>هاجر السيد</v>
      </c>
      <c r="F11" s="44" t="str">
        <f>IFERROR(VLOOKUP(B11, DataBase!A:O, 5, FALSE), "No Order Found")</f>
        <v>بني ياس</v>
      </c>
      <c r="G11" s="44" t="str">
        <f>IFERROR(VLOOKUP(B11, DataBase!A:O, 6, FALSE), "No Order Found")</f>
        <v>بني ياس بوابة الشرق مول شرق 2 فيلا ٢٠</v>
      </c>
      <c r="H11" s="46" t="str">
        <f>IFERROR(VLOOKUP(B11, DataBase!A:O, 7, FALSE), "No Order Found")</f>
        <v>https://www.google.com/maps?q=24.32160286901728,54.62401405136186</v>
      </c>
      <c r="I11" s="43" t="s">
        <v>1318</v>
      </c>
      <c r="J11" s="44" t="str">
        <f>IFERROR(VLOOKUP(A11, AlFayoumi!A:O, 3, FALSE), "No Order Found")</f>
        <v>12دجاجة وزن 1200سعر 20درهم</v>
      </c>
      <c r="K11" s="12" t="str">
        <f t="shared" si="2"/>
        <v>🧾 رقم 10
📞 0508168275
👤 هاجر السيد
📍 بني ياس - بني ياس بوابة الشرق مول شرق 2 فيلا ٢٠
🗺️ https://www.google.com/maps?q=24.32160286901728,54.62401405136186
🛒 الاوردر 👇
12دجاجة وزن 1200سعر 20درهم
---------------------------</v>
      </c>
      <c r="L11" s="43">
        <v>10.0</v>
      </c>
      <c r="M11" s="29" t="s">
        <v>1126</v>
      </c>
      <c r="N11" s="12">
        <v>17.0</v>
      </c>
      <c r="O11" s="29" t="s">
        <v>1205</v>
      </c>
    </row>
    <row r="12" ht="14.25" customHeight="1">
      <c r="A12" s="44" t="str">
        <f>AlFayoumi!A3</f>
        <v>O1779191777788</v>
      </c>
      <c r="B12" s="44" t="str">
        <f>AlFayoumi!B3</f>
        <v>C1779191613438</v>
      </c>
      <c r="C12" s="43">
        <f>IFERROR(VLOOKUP(B12, Routes!B:G, 6, FALSE), "")</f>
        <v>11</v>
      </c>
      <c r="D12" s="45" t="str">
        <f>VLOOKUP(A12, AlFayoumi!A:O, 5, FALSE)</f>
        <v>0569233207</v>
      </c>
      <c r="E12" s="29" t="str">
        <f>VLOOKUP(A12, AlFayoumi!A:O, 4, FALSE)</f>
        <v>ساره ذكى</v>
      </c>
      <c r="F12" s="44" t="str">
        <f>IFERROR(VLOOKUP(B12, DataBase!A:O, 5, FALSE), "No Order Found")</f>
        <v>ابو ظبى</v>
      </c>
      <c r="G12" s="44" t="str">
        <f>IFERROR(VLOOKUP(B12, DataBase!A:O, 6, FALSE), "No Order Found")</f>
        <v>مدينه الرياض فيلا ٢٦ملحق رقم ٣</v>
      </c>
      <c r="H12" s="46" t="str">
        <f>IFERROR(VLOOKUP(B12, DataBase!A:O, 7, FALSE), "No Order Found")</f>
        <v>https://www.google.com/maps?q=24.333568155473717,54.71084769152754</v>
      </c>
      <c r="I12" s="43" t="s">
        <v>1318</v>
      </c>
      <c r="J12" s="44" t="str">
        <f>IFERROR(VLOOKUP(A12, AlFayoumi!A:O, 3, FALSE), "No Order Found")</f>
        <v>6فرخات بيضه وزن. ١٢٠٠</v>
      </c>
      <c r="K12" s="12" t="str">
        <f t="shared" si="2"/>
        <v>🧾 رقم 11
📞 0569233207
👤 ساره ذكى
📍 ابو ظبى - مدينه الرياض فيلا ٢٦ملحق رقم ٣
🗺️ https://www.google.com/maps?q=24.333568155473717,54.71084769152754
🛒 الاوردر 👇
6فرخات بيضه وزن. ١٢٠٠
---------------------------</v>
      </c>
      <c r="L12" s="43">
        <v>11.0</v>
      </c>
      <c r="M12" s="29" t="s">
        <v>1277</v>
      </c>
      <c r="N12" s="12">
        <v>19.0</v>
      </c>
      <c r="O12" s="29" t="s">
        <v>167</v>
      </c>
    </row>
    <row r="13" ht="14.25" customHeight="1">
      <c r="A13" s="44" t="str">
        <f>AlFayoumi!A13</f>
        <v/>
      </c>
      <c r="B13" s="44" t="str">
        <f>AlFayoumi!B13</f>
        <v/>
      </c>
      <c r="C13" s="43" t="str">
        <f>IFERROR(VLOOKUP(B13, Routes!B:G, 6, FALSE), "")</f>
        <v/>
      </c>
      <c r="D13" s="45" t="str">
        <f>VLOOKUP(A13, AlFayoumi!A:O, 5, FALSE)</f>
        <v>#N/A</v>
      </c>
      <c r="E13" s="29" t="str">
        <f>VLOOKUP(A13, AlFayoumi!A:O, 4, FALSE)</f>
        <v>#N/A</v>
      </c>
      <c r="F13" s="44" t="str">
        <f>IFERROR(VLOOKUP(B13, DataBase!A:O, 5, FALSE), "No Order Found")</f>
        <v>No Order Found</v>
      </c>
      <c r="G13" s="44" t="str">
        <f>IFERROR(VLOOKUP(B13, DataBase!A:O, 6, FALSE), "No Order Found")</f>
        <v>No Order Found</v>
      </c>
      <c r="H13" s="44" t="str">
        <f>IFERROR(VLOOKUP(B13, DataBase!A:O, 7, FALSE), "No Order Found")</f>
        <v>No Order Found</v>
      </c>
      <c r="I13" s="43" t="s">
        <v>1318</v>
      </c>
      <c r="J13" s="44" t="str">
        <f>IFERROR(VLOOKUP(A13, AlFayoumi!A:O, 3, FALSE), "No Order Found")</f>
        <v>No Order Found</v>
      </c>
      <c r="K13" s="12" t="str">
        <f t="shared" si="2"/>
        <v>#N/A</v>
      </c>
      <c r="L13" s="43" t="s">
        <v>1320</v>
      </c>
      <c r="M13" s="29" t="e">
        <v>#N/A</v>
      </c>
      <c r="N13" s="12">
        <v>25.0</v>
      </c>
      <c r="O13" s="29" t="s">
        <v>328</v>
      </c>
    </row>
    <row r="14" ht="14.25" customHeight="1">
      <c r="A14" s="44" t="str">
        <f>AlFayoumi!A14</f>
        <v/>
      </c>
      <c r="B14" s="44" t="str">
        <f>AlFayoumi!B14</f>
        <v/>
      </c>
      <c r="C14" s="43" t="str">
        <f>IFERROR(VLOOKUP(B14, Routes!B:G, 6, FALSE), "")</f>
        <v/>
      </c>
      <c r="D14" s="45" t="str">
        <f>VLOOKUP(A14, AlFayoumi!A:O, 5, FALSE)</f>
        <v>#N/A</v>
      </c>
      <c r="E14" s="29" t="str">
        <f>VLOOKUP(A14, AlFayoumi!A:O, 4, FALSE)</f>
        <v>#N/A</v>
      </c>
      <c r="F14" s="44" t="str">
        <f>IFERROR(VLOOKUP(B14, DataBase!A:O, 5, FALSE), "No Order Found")</f>
        <v>No Order Found</v>
      </c>
      <c r="G14" s="44" t="str">
        <f>IFERROR(VLOOKUP(B14, DataBase!A:O, 6, FALSE), "No Order Found")</f>
        <v>No Order Found</v>
      </c>
      <c r="H14" s="44" t="str">
        <f>IFERROR(VLOOKUP(B14, DataBase!A:O, 7, FALSE), "No Order Found")</f>
        <v>No Order Found</v>
      </c>
      <c r="I14" s="43" t="s">
        <v>1318</v>
      </c>
      <c r="J14" s="44" t="str">
        <f>IFERROR(VLOOKUP(A14, AlFayoumi!A:O, 3, FALSE), "No Order Found")</f>
        <v>No Order Found</v>
      </c>
      <c r="K14" s="12" t="str">
        <f t="shared" si="2"/>
        <v>#N/A</v>
      </c>
      <c r="L14" s="43" t="s">
        <v>1320</v>
      </c>
      <c r="M14" s="29" t="e">
        <v>#N/A</v>
      </c>
      <c r="N14" s="12">
        <v>28.0</v>
      </c>
      <c r="O14" s="29" t="s">
        <v>917</v>
      </c>
    </row>
    <row r="15" ht="14.25" customHeight="1">
      <c r="A15" s="44" t="str">
        <f>AlFayoumi!A15</f>
        <v/>
      </c>
      <c r="B15" s="44" t="str">
        <f>AlFayoumi!B15</f>
        <v/>
      </c>
      <c r="C15" s="43" t="str">
        <f>IFERROR(VLOOKUP(B15, Routes!B:G, 6, FALSE), "")</f>
        <v/>
      </c>
      <c r="D15" s="45" t="str">
        <f>VLOOKUP(A15, AlFayoumi!A:O, 5, FALSE)</f>
        <v>#N/A</v>
      </c>
      <c r="E15" s="29" t="str">
        <f>VLOOKUP(A15, AlFayoumi!A:O, 4, FALSE)</f>
        <v>#N/A</v>
      </c>
      <c r="F15" s="44" t="str">
        <f>IFERROR(VLOOKUP(B15, DataBase!A:O, 5, FALSE), "No Order Found")</f>
        <v>No Order Found</v>
      </c>
      <c r="G15" s="44" t="str">
        <f>IFERROR(VLOOKUP(B15, DataBase!A:O, 6, FALSE), "No Order Found")</f>
        <v>No Order Found</v>
      </c>
      <c r="H15" s="44" t="str">
        <f>IFERROR(VLOOKUP(B15, DataBase!A:O, 7, FALSE), "No Order Found")</f>
        <v>No Order Found</v>
      </c>
      <c r="I15" s="43" t="s">
        <v>1318</v>
      </c>
      <c r="J15" s="44" t="str">
        <f>IFERROR(VLOOKUP(A15, AlFayoumi!A:O, 3, FALSE), "No Order Found")</f>
        <v>No Order Found</v>
      </c>
      <c r="K15" s="12" t="str">
        <f t="shared" si="2"/>
        <v>#N/A</v>
      </c>
      <c r="L15" s="43" t="s">
        <v>1320</v>
      </c>
      <c r="M15" s="29" t="e">
        <v>#N/A</v>
      </c>
      <c r="N15" s="12">
        <v>29.0</v>
      </c>
      <c r="O15" s="29"/>
    </row>
    <row r="16" ht="14.25" customHeight="1">
      <c r="A16" s="44" t="str">
        <f>AlFayoumi!A16</f>
        <v/>
      </c>
      <c r="B16" s="44" t="str">
        <f>AlFayoumi!B16</f>
        <v/>
      </c>
      <c r="C16" s="43" t="str">
        <f>IFERROR(VLOOKUP(B16, Routes!B:G, 6, FALSE), "")</f>
        <v/>
      </c>
      <c r="D16" s="45" t="str">
        <f>VLOOKUP(A16, AlFayoumi!A:O, 5, FALSE)</f>
        <v>#N/A</v>
      </c>
      <c r="E16" s="29" t="str">
        <f>VLOOKUP(A16, AlFayoumi!A:O, 4, FALSE)</f>
        <v>#N/A</v>
      </c>
      <c r="F16" s="44" t="str">
        <f>IFERROR(VLOOKUP(B16, DataBase!A:O, 5, FALSE), "No Order Found")</f>
        <v>No Order Found</v>
      </c>
      <c r="G16" s="44" t="str">
        <f>IFERROR(VLOOKUP(B16, DataBase!A:O, 6, FALSE), "No Order Found")</f>
        <v>No Order Found</v>
      </c>
      <c r="H16" s="44" t="str">
        <f>IFERROR(VLOOKUP(B16, DataBase!A:O, 7, FALSE), "No Order Found")</f>
        <v>No Order Found</v>
      </c>
      <c r="I16" s="43" t="s">
        <v>1318</v>
      </c>
      <c r="J16" s="44" t="str">
        <f>IFERROR(VLOOKUP(A16, AlFayoumi!A:O, 3, FALSE), "No Order Found")</f>
        <v>No Order Found</v>
      </c>
      <c r="K16" s="12" t="str">
        <f>"🧾 رقم " &amp; C16 &amp; CHAR(10) &amp; "📞 " &amp; L16 &amp; D16 &amp; CHAR(10) &amp; "👤 " &amp; E16 &amp; CHAR(10) &amp; "📍 " &amp; F16 &amp; " - " &amp; G16 &amp; CHAR(10) &amp; "🗺️ " &amp; H16 &amp; CHAR(10) &amp; "🛒 الاوردر 👇" &amp; CHAR(10) &amp; J16 &amp; CHAR(10) &amp; "---------------------------"</f>
        <v>#N/A</v>
      </c>
      <c r="L16" s="43" t="s">
        <v>1320</v>
      </c>
      <c r="M16" s="29" t="e">
        <v>#N/A</v>
      </c>
      <c r="N16" s="12">
        <v>32.0</v>
      </c>
      <c r="O16" s="42"/>
    </row>
    <row r="17" ht="14.25" customHeight="1">
      <c r="A17" s="44" t="str">
        <f>AlFayoumi!A17</f>
        <v/>
      </c>
      <c r="B17" s="44" t="str">
        <f>AlFayoumi!B17</f>
        <v/>
      </c>
      <c r="C17" s="43" t="str">
        <f>IFERROR(VLOOKUP(B17, Routes!B:G, 6, FALSE), "")</f>
        <v/>
      </c>
      <c r="D17" s="45" t="str">
        <f>VLOOKUP(A17, AlFayoumi!A:O, 5, FALSE)</f>
        <v>#N/A</v>
      </c>
      <c r="E17" s="29" t="str">
        <f>VLOOKUP(A17, AlFayoumi!A:O, 4, FALSE)</f>
        <v>#N/A</v>
      </c>
      <c r="F17" s="44" t="str">
        <f>IFERROR(VLOOKUP(B17, DataBase!A:O, 5, FALSE), "No Order Found")</f>
        <v>No Order Found</v>
      </c>
      <c r="G17" s="44" t="str">
        <f>IFERROR(VLOOKUP(B17, DataBase!A:O, 6, FALSE), "No Order Found")</f>
        <v>No Order Found</v>
      </c>
      <c r="H17" s="44" t="str">
        <f>IFERROR(VLOOKUP(B17, DataBase!A:O, 7, FALSE), "No Order Found")</f>
        <v>No Order Found</v>
      </c>
      <c r="I17" s="43" t="s">
        <v>1318</v>
      </c>
      <c r="J17" s="44" t="str">
        <f>IFERROR(VLOOKUP(A17, AlFayoumi!A:O, 3, FALSE), "No Order Found")</f>
        <v>No Order Found</v>
      </c>
      <c r="K17" s="12" t="str">
        <f t="shared" ref="K17:K36" si="3">"🧾 رقم " &amp; C17 &amp; CHAR(10) &amp; "📞 " &amp; D17 &amp; CHAR(10) &amp; "👤 " &amp; E17 &amp; CHAR(10) &amp; "📍 " &amp; F17 &amp; " - " &amp; G17 &amp; CHAR(10) &amp; "🗺️ " &amp; H17 &amp; CHAR(10) &amp; "🛒 الاوردر 👇" &amp; CHAR(10) &amp; J17 &amp; CHAR(10) &amp; "---------------------------"</f>
        <v>#N/A</v>
      </c>
      <c r="L17" s="43" t="s">
        <v>1320</v>
      </c>
      <c r="M17" s="29" t="e">
        <v>#N/A</v>
      </c>
      <c r="N17" s="12">
        <v>33.0</v>
      </c>
      <c r="O17" s="42"/>
    </row>
    <row r="18" ht="14.25" customHeight="1">
      <c r="A18" s="44" t="str">
        <f>AlFayoumi!A18</f>
        <v/>
      </c>
      <c r="B18" s="44" t="str">
        <f>AlFayoumi!B18</f>
        <v/>
      </c>
      <c r="C18" s="43" t="str">
        <f>IFERROR(VLOOKUP(B18, Routes!B:G, 6, FALSE), "")</f>
        <v/>
      </c>
      <c r="D18" s="47" t="str">
        <f>VLOOKUP(A18, AlFayoumi!A:O, 5, FALSE)</f>
        <v>#N/A</v>
      </c>
      <c r="E18" s="29" t="str">
        <f>VLOOKUP(A18, AlFayoumi!A:O, 4, FALSE)</f>
        <v>#N/A</v>
      </c>
      <c r="F18" s="44" t="str">
        <f>IFERROR(VLOOKUP(B18, DataBase!A:O, 5, FALSE), "No Order Found")</f>
        <v>No Order Found</v>
      </c>
      <c r="G18" s="44" t="str">
        <f>IFERROR(VLOOKUP(B18, DataBase!A:O, 6, FALSE), "No Order Found")</f>
        <v>No Order Found</v>
      </c>
      <c r="H18" s="44" t="str">
        <f>IFERROR(VLOOKUP(B18, DataBase!A:O, 7, FALSE), "No Order Found")</f>
        <v>No Order Found</v>
      </c>
      <c r="I18" s="43" t="s">
        <v>1318</v>
      </c>
      <c r="J18" s="44" t="str">
        <f>IFERROR(VLOOKUP(A18, AlFayoumi!A:O, 3, FALSE), "No Order Found")</f>
        <v>No Order Found</v>
      </c>
      <c r="K18" s="12" t="str">
        <f t="shared" si="3"/>
        <v>#N/A</v>
      </c>
      <c r="L18" s="43" t="s">
        <v>1320</v>
      </c>
      <c r="M18" s="29" t="e">
        <v>#N/A</v>
      </c>
      <c r="N18" s="12">
        <v>34.0</v>
      </c>
      <c r="O18" s="29"/>
    </row>
    <row r="19" ht="14.25" customHeight="1">
      <c r="A19" s="44" t="str">
        <f>AlFayoumi!A19</f>
        <v/>
      </c>
      <c r="B19" s="44" t="str">
        <f>AlFayoumi!B19</f>
        <v/>
      </c>
      <c r="C19" s="43" t="str">
        <f>IFERROR(VLOOKUP(B19, Routes!B:G, 6, FALSE), "")</f>
        <v/>
      </c>
      <c r="D19" s="45" t="str">
        <f>VLOOKUP(A19, AlFayoumi!A:O, 5, FALSE)</f>
        <v>#N/A</v>
      </c>
      <c r="E19" s="29" t="str">
        <f>VLOOKUP(A19, AlFayoumi!A:O, 4, FALSE)</f>
        <v>#N/A</v>
      </c>
      <c r="F19" s="44" t="str">
        <f>IFERROR(VLOOKUP(B19, DataBase!A:O, 5, FALSE), "No Order Found")</f>
        <v>No Order Found</v>
      </c>
      <c r="G19" s="44" t="str">
        <f>IFERROR(VLOOKUP(B19, DataBase!A:O, 6, FALSE), "No Order Found")</f>
        <v>No Order Found</v>
      </c>
      <c r="H19" s="44" t="str">
        <f>IFERROR(VLOOKUP(B19, DataBase!A:O, 7, FALSE), "No Order Found")</f>
        <v>No Order Found</v>
      </c>
      <c r="I19" s="43" t="s">
        <v>1318</v>
      </c>
      <c r="J19" s="44" t="str">
        <f>IFERROR(VLOOKUP(A19, AlFayoumi!A:O, 3, FALSE), "No Order Found")</f>
        <v>No Order Found</v>
      </c>
      <c r="K19" s="12" t="str">
        <f t="shared" si="3"/>
        <v>#N/A</v>
      </c>
      <c r="L19" s="43" t="s">
        <v>1320</v>
      </c>
      <c r="M19" s="29" t="e">
        <v>#N/A</v>
      </c>
      <c r="N19" s="12">
        <v>35.0</v>
      </c>
      <c r="O19" s="29"/>
    </row>
    <row r="20" ht="14.25" customHeight="1">
      <c r="A20" s="44" t="str">
        <f>AlFayoumi!A20</f>
        <v/>
      </c>
      <c r="B20" s="44" t="str">
        <f>AlFayoumi!B20</f>
        <v/>
      </c>
      <c r="C20" s="43" t="str">
        <f>IFERROR(VLOOKUP(B20, Routes!B:G, 6, FALSE), "")</f>
        <v/>
      </c>
      <c r="D20" s="45" t="str">
        <f>VLOOKUP(A20, AlFayoumi!A:O, 5, FALSE)</f>
        <v>#N/A</v>
      </c>
      <c r="E20" s="29" t="str">
        <f>VLOOKUP(A20, AlFayoumi!A:O, 4, FALSE)</f>
        <v>#N/A</v>
      </c>
      <c r="F20" s="44" t="str">
        <f>IFERROR(VLOOKUP(B20, DataBase!A:O, 5, FALSE), "No Order Found")</f>
        <v>No Order Found</v>
      </c>
      <c r="G20" s="44" t="str">
        <f>IFERROR(VLOOKUP(B20, DataBase!A:O, 6, FALSE), "No Order Found")</f>
        <v>No Order Found</v>
      </c>
      <c r="H20" s="44" t="str">
        <f>IFERROR(VLOOKUP(B20, DataBase!A:O, 7, FALSE), "No Order Found")</f>
        <v>No Order Found</v>
      </c>
      <c r="I20" s="43" t="s">
        <v>1318</v>
      </c>
      <c r="J20" s="44" t="str">
        <f>IFERROR(VLOOKUP(A20, AlFayoumi!A:O, 3, FALSE), "No Order Found")</f>
        <v>No Order Found</v>
      </c>
      <c r="K20" s="12" t="str">
        <f t="shared" si="3"/>
        <v>#N/A</v>
      </c>
      <c r="L20" s="43" t="s">
        <v>1320</v>
      </c>
      <c r="M20" s="29" t="e">
        <v>#N/A</v>
      </c>
      <c r="N20" s="12">
        <v>37.0</v>
      </c>
      <c r="O20" s="42"/>
    </row>
    <row r="21" ht="14.25" customHeight="1">
      <c r="A21" s="44" t="str">
        <f>AlFayoumi!A21</f>
        <v/>
      </c>
      <c r="B21" s="44" t="str">
        <f>AlFayoumi!B21</f>
        <v/>
      </c>
      <c r="C21" s="43" t="str">
        <f>IFERROR(VLOOKUP(B21, Routes!B:G, 6, FALSE), "")</f>
        <v/>
      </c>
      <c r="D21" s="45" t="str">
        <f>VLOOKUP(A21, AlFayoumi!A:O, 5, FALSE)</f>
        <v>#N/A</v>
      </c>
      <c r="E21" s="29" t="str">
        <f>VLOOKUP(A21, AlFayoumi!A:O, 4, FALSE)</f>
        <v>#N/A</v>
      </c>
      <c r="F21" s="44" t="str">
        <f>IFERROR(VLOOKUP(B21, DataBase!A:O, 5, FALSE), "No Order Found")</f>
        <v>No Order Found</v>
      </c>
      <c r="G21" s="44" t="str">
        <f>IFERROR(VLOOKUP(B21, DataBase!A:O, 6, FALSE), "No Order Found")</f>
        <v>No Order Found</v>
      </c>
      <c r="H21" s="44" t="str">
        <f>IFERROR(VLOOKUP(B21, DataBase!A:O, 7, FALSE), "No Order Found")</f>
        <v>No Order Found</v>
      </c>
      <c r="I21" s="43" t="s">
        <v>1318</v>
      </c>
      <c r="J21" s="44" t="str">
        <f>IFERROR(VLOOKUP(A21, AlFayoumi!A:O, 3, FALSE), "No Order Found")</f>
        <v>No Order Found</v>
      </c>
      <c r="K21" s="12" t="str">
        <f t="shared" si="3"/>
        <v>#N/A</v>
      </c>
      <c r="L21" s="43" t="s">
        <v>1320</v>
      </c>
      <c r="M21" s="29" t="e">
        <v>#N/A</v>
      </c>
      <c r="N21" s="12">
        <v>46.0</v>
      </c>
      <c r="O21" s="42"/>
    </row>
    <row r="22" ht="14.25" customHeight="1">
      <c r="A22" s="44" t="str">
        <f>AlFayoumi!A22</f>
        <v/>
      </c>
      <c r="B22" s="44" t="str">
        <f>AlFayoumi!B22</f>
        <v/>
      </c>
      <c r="C22" s="43" t="str">
        <f>IFERROR(VLOOKUP(B22, Routes!B:G, 6, FALSE), "")</f>
        <v/>
      </c>
      <c r="D22" s="45" t="str">
        <f>VLOOKUP(A22, AlFayoumi!A:O, 5, FALSE)</f>
        <v>#N/A</v>
      </c>
      <c r="E22" s="29" t="str">
        <f>VLOOKUP(A22, AlFayoumi!A:O, 4, FALSE)</f>
        <v>#N/A</v>
      </c>
      <c r="F22" s="44" t="str">
        <f>IFERROR(VLOOKUP(B22, DataBase!A:O, 5, FALSE), "No Order Found")</f>
        <v>No Order Found</v>
      </c>
      <c r="G22" s="44" t="str">
        <f>IFERROR(VLOOKUP(B22, DataBase!A:O, 6, FALSE), "No Order Found")</f>
        <v>No Order Found</v>
      </c>
      <c r="H22" s="44" t="str">
        <f>IFERROR(VLOOKUP(B22, DataBase!A:O, 7, FALSE), "No Order Found")</f>
        <v>No Order Found</v>
      </c>
      <c r="I22" s="43" t="s">
        <v>1318</v>
      </c>
      <c r="J22" s="44" t="str">
        <f>IFERROR(VLOOKUP(A22, AlFayoumi!A:O, 3, FALSE), "No Order Found")</f>
        <v>No Order Found</v>
      </c>
      <c r="K22" s="12" t="str">
        <f t="shared" si="3"/>
        <v>#N/A</v>
      </c>
      <c r="L22" s="43" t="s">
        <v>1320</v>
      </c>
      <c r="M22" s="29" t="e">
        <v>#N/A</v>
      </c>
      <c r="N22" s="43"/>
      <c r="O22" s="29"/>
    </row>
    <row r="23" ht="14.25" customHeight="1">
      <c r="A23" s="44" t="str">
        <f>AlFayoumi!A23</f>
        <v/>
      </c>
      <c r="B23" s="44" t="str">
        <f>AlFayoumi!B23</f>
        <v/>
      </c>
      <c r="C23" s="43" t="str">
        <f>IFERROR(VLOOKUP(B23, Routes!B:G, 6, FALSE), "")</f>
        <v/>
      </c>
      <c r="D23" s="45" t="str">
        <f>VLOOKUP(A23, AlFayoumi!A:O, 5, FALSE)</f>
        <v>#N/A</v>
      </c>
      <c r="E23" s="29" t="str">
        <f>VLOOKUP(A23, AlFayoumi!A:O, 4, FALSE)</f>
        <v>#N/A</v>
      </c>
      <c r="F23" s="44" t="str">
        <f>IFERROR(VLOOKUP(B23, DataBase!A:O, 5, FALSE), "No Order Found")</f>
        <v>No Order Found</v>
      </c>
      <c r="G23" s="44" t="str">
        <f>IFERROR(VLOOKUP(B23, DataBase!A:O, 6, FALSE), "No Order Found")</f>
        <v>No Order Found</v>
      </c>
      <c r="H23" s="44" t="str">
        <f>IFERROR(VLOOKUP(B23, DataBase!A:O, 7, FALSE), "No Order Found")</f>
        <v>No Order Found</v>
      </c>
      <c r="I23" s="43" t="s">
        <v>1318</v>
      </c>
      <c r="J23" s="44" t="str">
        <f>IFERROR(VLOOKUP(A23, AlFayoumi!A:O, 3, FALSE), "No Order Found")</f>
        <v>No Order Found</v>
      </c>
      <c r="K23" s="12" t="str">
        <f t="shared" si="3"/>
        <v>#N/A</v>
      </c>
      <c r="L23" s="43" t="s">
        <v>1320</v>
      </c>
      <c r="M23" s="29" t="e">
        <v>#N/A</v>
      </c>
      <c r="N23" s="43"/>
      <c r="O23" s="29"/>
    </row>
    <row r="24" ht="14.25" customHeight="1">
      <c r="A24" s="44" t="str">
        <f>AlFayoumi!A24</f>
        <v/>
      </c>
      <c r="B24" s="44" t="str">
        <f>AlFayoumi!B24</f>
        <v/>
      </c>
      <c r="C24" s="43" t="str">
        <f>IFERROR(VLOOKUP(B24, Routes!B:G, 6, FALSE), "")</f>
        <v/>
      </c>
      <c r="D24" s="45" t="str">
        <f>VLOOKUP(A24, AlFayoumi!A:O, 5, FALSE)</f>
        <v>#N/A</v>
      </c>
      <c r="E24" s="29" t="str">
        <f>VLOOKUP(A24, AlFayoumi!A:O, 4, FALSE)</f>
        <v>#N/A</v>
      </c>
      <c r="F24" s="44" t="str">
        <f>IFERROR(VLOOKUP(B24, DataBase!A:O, 5, FALSE), "No Order Found")</f>
        <v>No Order Found</v>
      </c>
      <c r="G24" s="44" t="str">
        <f>IFERROR(VLOOKUP(B24, DataBase!A:O, 6, FALSE), "No Order Found")</f>
        <v>No Order Found</v>
      </c>
      <c r="H24" s="44" t="str">
        <f>IFERROR(VLOOKUP(B24, DataBase!A:O, 7, FALSE), "No Order Found")</f>
        <v>No Order Found</v>
      </c>
      <c r="I24" s="43" t="s">
        <v>1318</v>
      </c>
      <c r="J24" s="44" t="str">
        <f>IFERROR(VLOOKUP(A24, AlFayoumi!A:O, 3, FALSE), "No Order Found")</f>
        <v>No Order Found</v>
      </c>
      <c r="K24" s="12" t="str">
        <f t="shared" si="3"/>
        <v>#N/A</v>
      </c>
      <c r="L24" s="43" t="s">
        <v>1320</v>
      </c>
      <c r="M24" s="29" t="e">
        <v>#N/A</v>
      </c>
      <c r="O24" s="29"/>
    </row>
    <row r="25" ht="14.25" customHeight="1">
      <c r="A25" s="44" t="str">
        <f>AlFayoumi!A25</f>
        <v/>
      </c>
      <c r="B25" s="44" t="str">
        <f>AlFayoumi!B25</f>
        <v/>
      </c>
      <c r="C25" s="43" t="str">
        <f>IFERROR(VLOOKUP(B25, Routes!B:G, 6, FALSE), "")</f>
        <v/>
      </c>
      <c r="D25" s="45" t="str">
        <f>VLOOKUP(A25, AlFayoumi!A:O, 5, FALSE)</f>
        <v>#N/A</v>
      </c>
      <c r="E25" s="29" t="str">
        <f>VLOOKUP(A25, AlFayoumi!A:O, 4, FALSE)</f>
        <v>#N/A</v>
      </c>
      <c r="F25" s="44" t="str">
        <f>IFERROR(VLOOKUP(B25, DataBase!A:O, 5, FALSE), "No Order Found")</f>
        <v>No Order Found</v>
      </c>
      <c r="G25" s="44" t="str">
        <f>IFERROR(VLOOKUP(B25, DataBase!A:O, 6, FALSE), "No Order Found")</f>
        <v>No Order Found</v>
      </c>
      <c r="H25" s="44" t="str">
        <f>IFERROR(VLOOKUP(B25, DataBase!A:O, 7, FALSE), "No Order Found")</f>
        <v>No Order Found</v>
      </c>
      <c r="I25" s="43" t="s">
        <v>1318</v>
      </c>
      <c r="J25" s="44" t="str">
        <f>IFERROR(VLOOKUP(A25, AlFayoumi!A:O, 3, FALSE), "No Order Found")</f>
        <v>No Order Found</v>
      </c>
      <c r="K25" s="12" t="str">
        <f t="shared" si="3"/>
        <v>#N/A</v>
      </c>
      <c r="L25" s="43" t="s">
        <v>1320</v>
      </c>
      <c r="M25" s="29" t="e">
        <v>#N/A</v>
      </c>
      <c r="N25" s="43"/>
      <c r="O25" s="29"/>
    </row>
    <row r="26" ht="14.25" customHeight="1">
      <c r="A26" s="44" t="str">
        <f>AlFayoumi!A26</f>
        <v/>
      </c>
      <c r="B26" s="44" t="str">
        <f>AlFayoumi!B26</f>
        <v/>
      </c>
      <c r="C26" s="43" t="str">
        <f>IFERROR(VLOOKUP(B26, Routes!B:G, 6, FALSE), "")</f>
        <v/>
      </c>
      <c r="D26" s="45" t="str">
        <f>VLOOKUP(A26, AlFayoumi!A:O, 5, FALSE)</f>
        <v>#N/A</v>
      </c>
      <c r="E26" s="29" t="str">
        <f>VLOOKUP(A26, AlFayoumi!A:O, 4, FALSE)</f>
        <v>#N/A</v>
      </c>
      <c r="F26" s="44" t="str">
        <f>IFERROR(VLOOKUP(B26, DataBase!A:O, 5, FALSE), "No Order Found")</f>
        <v>No Order Found</v>
      </c>
      <c r="G26" s="44" t="str">
        <f>IFERROR(VLOOKUP(B26, DataBase!A:O, 6, FALSE), "No Order Found")</f>
        <v>No Order Found</v>
      </c>
      <c r="H26" s="44" t="str">
        <f>IFERROR(VLOOKUP(B26, DataBase!A:O, 7, FALSE), "No Order Found")</f>
        <v>No Order Found</v>
      </c>
      <c r="I26" s="43" t="s">
        <v>1318</v>
      </c>
      <c r="J26" s="44" t="str">
        <f>IFERROR(VLOOKUP(A26, AlFayoumi!A:O, 3, FALSE), "No Order Found")</f>
        <v>No Order Found</v>
      </c>
      <c r="K26" s="12" t="str">
        <f t="shared" si="3"/>
        <v>#N/A</v>
      </c>
      <c r="L26" s="43" t="s">
        <v>1320</v>
      </c>
      <c r="M26" s="29" t="e">
        <v>#N/A</v>
      </c>
      <c r="O26" s="42"/>
    </row>
    <row r="27" ht="14.25" customHeight="1">
      <c r="A27" s="44" t="str">
        <f>AlFayoumi!A27</f>
        <v/>
      </c>
      <c r="B27" s="44" t="str">
        <f>AlFayoumi!B27</f>
        <v/>
      </c>
      <c r="C27" s="43" t="str">
        <f>IFERROR(VLOOKUP(B27, Routes!B:G, 6, FALSE), "")</f>
        <v/>
      </c>
      <c r="D27" s="45" t="str">
        <f>VLOOKUP(A27, AlFayoumi!A:O, 5, FALSE)</f>
        <v>#N/A</v>
      </c>
      <c r="E27" s="29" t="str">
        <f>VLOOKUP(A27, AlFayoumi!A:O, 4, FALSE)</f>
        <v>#N/A</v>
      </c>
      <c r="F27" s="44" t="str">
        <f>IFERROR(VLOOKUP(B27, DataBase!A:O, 5, FALSE), "No Order Found")</f>
        <v>No Order Found</v>
      </c>
      <c r="G27" s="44" t="str">
        <f>IFERROR(VLOOKUP(B27, DataBase!A:O, 6, FALSE), "No Order Found")</f>
        <v>No Order Found</v>
      </c>
      <c r="H27" s="44" t="str">
        <f>IFERROR(VLOOKUP(B27, DataBase!A:O, 7, FALSE), "No Order Found")</f>
        <v>No Order Found</v>
      </c>
      <c r="I27" s="43" t="s">
        <v>1318</v>
      </c>
      <c r="J27" s="44" t="str">
        <f>IFERROR(VLOOKUP(A27, AlFayoumi!A:O, 3, FALSE), "No Order Found")</f>
        <v>No Order Found</v>
      </c>
      <c r="K27" s="12" t="str">
        <f t="shared" si="3"/>
        <v>#N/A</v>
      </c>
      <c r="L27" s="43" t="s">
        <v>1320</v>
      </c>
      <c r="M27" s="29" t="e">
        <v>#N/A</v>
      </c>
      <c r="N27" s="43"/>
      <c r="O27" s="29"/>
    </row>
    <row r="28" ht="14.25" customHeight="1">
      <c r="A28" s="44" t="str">
        <f>AlFayoumi!A28</f>
        <v/>
      </c>
      <c r="B28" s="44" t="str">
        <f>AlFayoumi!B28</f>
        <v/>
      </c>
      <c r="C28" s="43" t="str">
        <f>IFERROR(VLOOKUP(B28, Routes!B:G, 6, FALSE), "")</f>
        <v/>
      </c>
      <c r="D28" s="45" t="str">
        <f>VLOOKUP(A28, AlFayoumi!A:O, 5, FALSE)</f>
        <v>#N/A</v>
      </c>
      <c r="E28" s="29" t="str">
        <f>VLOOKUP(A28, AlFayoumi!A:O, 4, FALSE)</f>
        <v>#N/A</v>
      </c>
      <c r="F28" s="44" t="str">
        <f>IFERROR(VLOOKUP(B28, DataBase!A:O, 5, FALSE), "No Order Found")</f>
        <v>No Order Found</v>
      </c>
      <c r="G28" s="44" t="str">
        <f>IFERROR(VLOOKUP(B28, DataBase!A:O, 6, FALSE), "No Order Found")</f>
        <v>No Order Found</v>
      </c>
      <c r="H28" s="44" t="str">
        <f>IFERROR(VLOOKUP(B28, DataBase!A:O, 7, FALSE), "No Order Found")</f>
        <v>No Order Found</v>
      </c>
      <c r="I28" s="43" t="s">
        <v>1318</v>
      </c>
      <c r="J28" s="44" t="str">
        <f>IFERROR(VLOOKUP(A28, AlFayoumi!A:O, 3, FALSE), "No Order Found")</f>
        <v>No Order Found</v>
      </c>
      <c r="K28" s="12" t="str">
        <f t="shared" si="3"/>
        <v>#N/A</v>
      </c>
      <c r="L28" s="43" t="s">
        <v>1320</v>
      </c>
      <c r="M28" s="29" t="e">
        <v>#N/A</v>
      </c>
      <c r="O28" s="42"/>
    </row>
    <row r="29" ht="14.25" customHeight="1">
      <c r="A29" s="44" t="str">
        <f>AlFayoumi!A29</f>
        <v/>
      </c>
      <c r="B29" s="44" t="str">
        <f>AlFayoumi!B29</f>
        <v/>
      </c>
      <c r="C29" s="43" t="str">
        <f>IFERROR(VLOOKUP(B29, Routes!B:G, 6, FALSE), "")</f>
        <v/>
      </c>
      <c r="D29" s="45" t="str">
        <f>VLOOKUP(A29, AlFayoumi!A:O, 5, FALSE)</f>
        <v>#N/A</v>
      </c>
      <c r="E29" s="29" t="str">
        <f>VLOOKUP(A29, AlFayoumi!A:O, 4, FALSE)</f>
        <v>#N/A</v>
      </c>
      <c r="F29" s="44" t="str">
        <f>IFERROR(VLOOKUP(B29, DataBase!A:O, 5, FALSE), "No Order Found")</f>
        <v>No Order Found</v>
      </c>
      <c r="G29" s="44" t="str">
        <f>IFERROR(VLOOKUP(B29, DataBase!A:O, 6, FALSE), "No Order Found")</f>
        <v>No Order Found</v>
      </c>
      <c r="H29" s="44" t="str">
        <f>IFERROR(VLOOKUP(B29, DataBase!A:O, 7, FALSE), "No Order Found")</f>
        <v>No Order Found</v>
      </c>
      <c r="I29" s="43" t="s">
        <v>1318</v>
      </c>
      <c r="J29" s="44" t="str">
        <f>IFERROR(VLOOKUP(A29, AlFayoumi!A:O, 3, FALSE), "No Order Found")</f>
        <v>No Order Found</v>
      </c>
      <c r="K29" s="12" t="str">
        <f t="shared" si="3"/>
        <v>#N/A</v>
      </c>
      <c r="L29" s="43" t="s">
        <v>1320</v>
      </c>
      <c r="M29" s="29" t="e">
        <v>#N/A</v>
      </c>
      <c r="N29" s="43"/>
      <c r="O29" s="29"/>
    </row>
    <row r="30" ht="14.25" customHeight="1">
      <c r="A30" s="44" t="str">
        <f>AlFayoumi!A30</f>
        <v/>
      </c>
      <c r="B30" s="44" t="str">
        <f>AlFayoumi!B30</f>
        <v/>
      </c>
      <c r="C30" s="43" t="str">
        <f>IFERROR(VLOOKUP(B30, Routes!B:G, 6, FALSE), "")</f>
        <v/>
      </c>
      <c r="D30" s="45" t="str">
        <f>VLOOKUP(A30, AlFayoumi!A:O, 5, FALSE)</f>
        <v>#N/A</v>
      </c>
      <c r="E30" s="29" t="str">
        <f>VLOOKUP(A30, AlFayoumi!A:O, 4, FALSE)</f>
        <v>#N/A</v>
      </c>
      <c r="F30" s="44" t="str">
        <f>IFERROR(VLOOKUP(B30, DataBase!A:O, 5, FALSE), "No Order Found")</f>
        <v>No Order Found</v>
      </c>
      <c r="G30" s="44" t="str">
        <f>IFERROR(VLOOKUP(B30, DataBase!A:O, 6, FALSE), "No Order Found")</f>
        <v>No Order Found</v>
      </c>
      <c r="H30" s="44" t="str">
        <f>IFERROR(VLOOKUP(B30, DataBase!A:O, 7, FALSE), "No Order Found")</f>
        <v>No Order Found</v>
      </c>
      <c r="I30" s="43" t="s">
        <v>1318</v>
      </c>
      <c r="J30" s="44" t="str">
        <f>IFERROR(VLOOKUP(A30, AlFayoumi!A:O, 3, FALSE), "No Order Found")</f>
        <v>No Order Found</v>
      </c>
      <c r="K30" s="12" t="str">
        <f t="shared" si="3"/>
        <v>#N/A</v>
      </c>
      <c r="L30" s="43" t="s">
        <v>1320</v>
      </c>
      <c r="M30" s="29" t="e">
        <v>#N/A</v>
      </c>
      <c r="N30" s="43"/>
      <c r="O30" s="29"/>
    </row>
    <row r="31" ht="14.25" customHeight="1">
      <c r="A31" s="44" t="str">
        <f>AlFayoumi!A31</f>
        <v/>
      </c>
      <c r="B31" s="44" t="str">
        <f>AlFayoumi!B31</f>
        <v/>
      </c>
      <c r="C31" s="43" t="str">
        <f>IFERROR(VLOOKUP(B31, Routes!B:G, 6, FALSE), "")</f>
        <v/>
      </c>
      <c r="D31" s="45" t="str">
        <f>VLOOKUP(A31, AlFayoumi!A:O, 5, FALSE)</f>
        <v>#N/A</v>
      </c>
      <c r="E31" s="29" t="str">
        <f>VLOOKUP(A31, AlFayoumi!A:O, 4, FALSE)</f>
        <v>#N/A</v>
      </c>
      <c r="F31" s="44" t="str">
        <f>IFERROR(VLOOKUP(B31, DataBase!A:O, 5, FALSE), "No Order Found")</f>
        <v>No Order Found</v>
      </c>
      <c r="G31" s="44" t="str">
        <f>IFERROR(VLOOKUP(B31, DataBase!A:O, 6, FALSE), "No Order Found")</f>
        <v>No Order Found</v>
      </c>
      <c r="H31" s="44" t="str">
        <f>IFERROR(VLOOKUP(B31, DataBase!A:O, 7, FALSE), "No Order Found")</f>
        <v>No Order Found</v>
      </c>
      <c r="I31" s="43" t="s">
        <v>1318</v>
      </c>
      <c r="J31" s="44" t="str">
        <f>IFERROR(VLOOKUP(A31, AlFayoumi!A:O, 3, FALSE), "No Order Found")</f>
        <v>No Order Found</v>
      </c>
      <c r="K31" s="12" t="str">
        <f t="shared" si="3"/>
        <v>#N/A</v>
      </c>
      <c r="L31" s="43" t="s">
        <v>1320</v>
      </c>
      <c r="M31" s="29" t="e">
        <v>#N/A</v>
      </c>
      <c r="N31" s="43"/>
      <c r="O31" s="29"/>
    </row>
    <row r="32" ht="14.25" customHeight="1">
      <c r="A32" s="44" t="str">
        <f>AlFayoumi!A32</f>
        <v/>
      </c>
      <c r="B32" s="44" t="str">
        <f>AlFayoumi!B32</f>
        <v/>
      </c>
      <c r="C32" s="43" t="str">
        <f>IFERROR(VLOOKUP(B32, Routes!B:G, 6, FALSE), "")</f>
        <v/>
      </c>
      <c r="D32" s="45" t="str">
        <f>VLOOKUP(A32, AlFayoumi!A:O, 5, FALSE)</f>
        <v>#N/A</v>
      </c>
      <c r="E32" s="29" t="str">
        <f>VLOOKUP(A32, AlFayoumi!A:O, 4, FALSE)</f>
        <v>#N/A</v>
      </c>
      <c r="F32" s="44" t="str">
        <f>IFERROR(VLOOKUP(B32, DataBase!A:O, 5, FALSE), "No Order Found")</f>
        <v>No Order Found</v>
      </c>
      <c r="G32" s="44" t="str">
        <f>IFERROR(VLOOKUP(B32, DataBase!A:O, 6, FALSE), "No Order Found")</f>
        <v>No Order Found</v>
      </c>
      <c r="H32" s="44" t="str">
        <f>IFERROR(VLOOKUP(B32, DataBase!A:O, 7, FALSE), "No Order Found")</f>
        <v>No Order Found</v>
      </c>
      <c r="I32" s="43" t="s">
        <v>1318</v>
      </c>
      <c r="J32" s="44" t="str">
        <f>IFERROR(VLOOKUP(A32, AlFayoumi!A:O, 3, FALSE), "No Order Found")</f>
        <v>No Order Found</v>
      </c>
      <c r="K32" s="12" t="str">
        <f t="shared" si="3"/>
        <v>#N/A</v>
      </c>
      <c r="L32" s="43" t="s">
        <v>1320</v>
      </c>
      <c r="M32" s="29" t="e">
        <v>#N/A</v>
      </c>
      <c r="O32" s="42"/>
    </row>
    <row r="33" ht="14.25" customHeight="1">
      <c r="A33" s="44" t="str">
        <f>AlFayoumi!A33</f>
        <v/>
      </c>
      <c r="B33" s="44" t="str">
        <f>AlFayoumi!B33</f>
        <v/>
      </c>
      <c r="C33" s="43" t="str">
        <f>IFERROR(VLOOKUP(B33, Routes!B:G, 6, FALSE), "")</f>
        <v/>
      </c>
      <c r="D33" s="45" t="str">
        <f>VLOOKUP(A33, AlFayoumi!A:O, 5, FALSE)</f>
        <v>#N/A</v>
      </c>
      <c r="E33" s="29" t="str">
        <f>VLOOKUP(A33, AlFayoumi!A:O, 4, FALSE)</f>
        <v>#N/A</v>
      </c>
      <c r="F33" s="44" t="str">
        <f>IFERROR(VLOOKUP(B33, DataBase!A:O, 5, FALSE), "No Order Found")</f>
        <v>No Order Found</v>
      </c>
      <c r="G33" s="44" t="str">
        <f>IFERROR(VLOOKUP(B33, DataBase!A:O, 6, FALSE), "No Order Found")</f>
        <v>No Order Found</v>
      </c>
      <c r="H33" s="44" t="str">
        <f>IFERROR(VLOOKUP(B33, DataBase!A:O, 7, FALSE), "No Order Found")</f>
        <v>No Order Found</v>
      </c>
      <c r="I33" s="43" t="s">
        <v>1318</v>
      </c>
      <c r="J33" s="44" t="str">
        <f>IFERROR(VLOOKUP(A33, AlFayoumi!A:O, 3, FALSE), "No Order Found")</f>
        <v>No Order Found</v>
      </c>
      <c r="K33" s="12" t="str">
        <f t="shared" si="3"/>
        <v>#N/A</v>
      </c>
      <c r="L33" s="43" t="s">
        <v>1320</v>
      </c>
      <c r="M33" s="29" t="e">
        <v>#N/A</v>
      </c>
      <c r="O33" s="29"/>
    </row>
    <row r="34" ht="14.25" customHeight="1">
      <c r="A34" s="44" t="str">
        <f>AlFayoumi!A34</f>
        <v/>
      </c>
      <c r="B34" s="44" t="str">
        <f>AlFayoumi!B34</f>
        <v/>
      </c>
      <c r="C34" s="43" t="str">
        <f>IFERROR(VLOOKUP(B34, Routes!B:G, 6, FALSE), "")</f>
        <v/>
      </c>
      <c r="D34" s="45" t="str">
        <f>VLOOKUP(A34, AlFayoumi!A:O, 5, FALSE)</f>
        <v>#N/A</v>
      </c>
      <c r="E34" s="29" t="str">
        <f>VLOOKUP(A34, AlFayoumi!A:O, 4, FALSE)</f>
        <v>#N/A</v>
      </c>
      <c r="F34" s="44" t="str">
        <f>IFERROR(VLOOKUP(B34, DataBase!A:O, 5, FALSE), "No Order Found")</f>
        <v>No Order Found</v>
      </c>
      <c r="G34" s="44" t="str">
        <f>IFERROR(VLOOKUP(B34, DataBase!A:O, 6, FALSE), "No Order Found")</f>
        <v>No Order Found</v>
      </c>
      <c r="H34" s="44" t="str">
        <f>IFERROR(VLOOKUP(B34, DataBase!A:O, 7, FALSE), "No Order Found")</f>
        <v>No Order Found</v>
      </c>
      <c r="I34" s="43" t="s">
        <v>1318</v>
      </c>
      <c r="J34" s="44" t="str">
        <f>IFERROR(VLOOKUP(A34, AlFayoumi!A:O, 3, FALSE), "No Order Found")</f>
        <v>No Order Found</v>
      </c>
      <c r="K34" s="12" t="str">
        <f t="shared" si="3"/>
        <v>#N/A</v>
      </c>
      <c r="L34" s="43" t="s">
        <v>1320</v>
      </c>
      <c r="M34" s="29" t="e">
        <v>#N/A</v>
      </c>
      <c r="O34" s="29"/>
    </row>
    <row r="35" ht="14.25" customHeight="1">
      <c r="A35" s="44" t="str">
        <f>AlFayoumi!A35</f>
        <v/>
      </c>
      <c r="B35" s="44" t="str">
        <f>AlFayoumi!B35</f>
        <v/>
      </c>
      <c r="C35" s="43" t="str">
        <f>IFERROR(VLOOKUP(B35, Routes!B:G, 6, FALSE), "")</f>
        <v/>
      </c>
      <c r="D35" s="45" t="str">
        <f>VLOOKUP(A35, AlFayoumi!A:O, 5, FALSE)</f>
        <v>#N/A</v>
      </c>
      <c r="E35" s="29" t="str">
        <f>VLOOKUP(A35, AlFayoumi!A:O, 4, FALSE)</f>
        <v>#N/A</v>
      </c>
      <c r="F35" s="44" t="str">
        <f>IFERROR(VLOOKUP(B35, DataBase!A:O, 5, FALSE), "No Order Found")</f>
        <v>No Order Found</v>
      </c>
      <c r="G35" s="44" t="str">
        <f>IFERROR(VLOOKUP(B35, DataBase!A:O, 6, FALSE), "No Order Found")</f>
        <v>No Order Found</v>
      </c>
      <c r="H35" s="44" t="str">
        <f>IFERROR(VLOOKUP(B35, DataBase!A:O, 7, FALSE), "No Order Found")</f>
        <v>No Order Found</v>
      </c>
      <c r="I35" s="43" t="s">
        <v>1318</v>
      </c>
      <c r="J35" s="44" t="str">
        <f>IFERROR(VLOOKUP(A35, AlFayoumi!A:O, 3, FALSE), "No Order Found")</f>
        <v>No Order Found</v>
      </c>
      <c r="K35" s="12" t="str">
        <f t="shared" si="3"/>
        <v>#N/A</v>
      </c>
      <c r="L35" s="43" t="s">
        <v>1320</v>
      </c>
      <c r="M35" s="29" t="e">
        <v>#N/A</v>
      </c>
      <c r="O35" s="29"/>
    </row>
    <row r="36" ht="14.25" customHeight="1">
      <c r="A36" s="44" t="str">
        <f>AlFayoumi!A36</f>
        <v/>
      </c>
      <c r="B36" s="44" t="str">
        <f>AlFayoumi!B36</f>
        <v/>
      </c>
      <c r="C36" s="43" t="str">
        <f>IFERROR(VLOOKUP(B36, Routes!B:G, 6, FALSE), "")</f>
        <v/>
      </c>
      <c r="D36" s="45" t="str">
        <f>VLOOKUP(A36, AlFayoumi!A:O, 5, FALSE)</f>
        <v>#N/A</v>
      </c>
      <c r="E36" s="29" t="str">
        <f>VLOOKUP(A36, AlFayoumi!A:O, 4, FALSE)</f>
        <v>#N/A</v>
      </c>
      <c r="F36" s="44" t="str">
        <f>IFERROR(VLOOKUP(B36, DataBase!A:O, 5, FALSE), "No Order Found")</f>
        <v>No Order Found</v>
      </c>
      <c r="G36" s="44" t="str">
        <f>IFERROR(VLOOKUP(B36, DataBase!A:O, 6, FALSE), "No Order Found")</f>
        <v>No Order Found</v>
      </c>
      <c r="H36" s="44" t="str">
        <f>IFERROR(VLOOKUP(B36, DataBase!A:O, 7, FALSE), "No Order Found")</f>
        <v>No Order Found</v>
      </c>
      <c r="I36" s="43" t="s">
        <v>1318</v>
      </c>
      <c r="J36" s="44" t="str">
        <f>IFERROR(VLOOKUP(A36, AlFayoumi!A:O, 3, FALSE), "No Order Found")</f>
        <v>No Order Found</v>
      </c>
      <c r="K36" s="12" t="str">
        <f t="shared" si="3"/>
        <v>#N/A</v>
      </c>
      <c r="L36" s="43" t="s">
        <v>1320</v>
      </c>
      <c r="M36" s="29" t="e">
        <v>#N/A</v>
      </c>
      <c r="N36" s="43"/>
      <c r="O36" s="29"/>
    </row>
    <row r="37" ht="14.25" customHeight="1">
      <c r="A37" s="44" t="str">
        <f>AlFayoumi!A37</f>
        <v/>
      </c>
      <c r="B37" s="44" t="str">
        <f>AlFayoumi!B37</f>
        <v/>
      </c>
      <c r="C37" s="43" t="str">
        <f>IFERROR(VLOOKUP(B37, Routes!B:G, 6, FALSE), "")</f>
        <v/>
      </c>
      <c r="D37" s="45" t="str">
        <f>VLOOKUP(A37, AlFayoumi!A:O, 5, FALSE)</f>
        <v>#N/A</v>
      </c>
      <c r="E37" s="29" t="str">
        <f>VLOOKUP(A37, AlFayoumi!A:O, 4, FALSE)</f>
        <v>#N/A</v>
      </c>
      <c r="F37" s="44" t="str">
        <f>IFERROR(VLOOKUP(B37, DataBase!A:O, 5, FALSE), "No Order Found")</f>
        <v>No Order Found</v>
      </c>
      <c r="G37" s="44" t="str">
        <f>IFERROR(VLOOKUP(B37, DataBase!A:O, 6, FALSE), "No Order Found")</f>
        <v>No Order Found</v>
      </c>
      <c r="H37" s="44" t="str">
        <f>IFERROR(VLOOKUP(B37, DataBase!A:O, 7, FALSE), "No Order Found")</f>
        <v>No Order Found</v>
      </c>
      <c r="I37" s="43" t="s">
        <v>1318</v>
      </c>
      <c r="J37" s="44" t="str">
        <f>IFERROR(VLOOKUP(A37, AlFayoumi!A:O, 3, FALSE), "No Order Found")</f>
        <v>No Order Found</v>
      </c>
      <c r="K37" s="12" t="str">
        <f>"🧾 رقم " &amp; C37 &amp; CHAR(10) &amp; "📞 " &amp; L37 &amp; D37 &amp; CHAR(10) &amp; "👤 " &amp; E37 &amp; CHAR(10) &amp; "📍 " &amp; F37 &amp; " - " &amp; G37 &amp; CHAR(10) &amp; "🗺️ " &amp; H37 &amp; CHAR(10) &amp; "🛒 الاوردر 👇" &amp; CHAR(10) &amp; J37 &amp; CHAR(10) &amp; "---------------------------"</f>
        <v>#N/A</v>
      </c>
      <c r="L37" s="43" t="s">
        <v>1320</v>
      </c>
      <c r="M37" s="29" t="e">
        <v>#N/A</v>
      </c>
      <c r="O37" s="42"/>
    </row>
    <row r="38" ht="14.25" customHeight="1">
      <c r="A38" s="44" t="str">
        <f>AlFayoumi!A38</f>
        <v/>
      </c>
      <c r="B38" s="44" t="str">
        <f>AlFayoumi!B38</f>
        <v/>
      </c>
      <c r="C38" s="43" t="str">
        <f>IFERROR(VLOOKUP(B38, Routes!B:G, 6, FALSE), "")</f>
        <v/>
      </c>
      <c r="D38" s="45" t="str">
        <f>VLOOKUP(A38, AlFayoumi!A:O, 5, FALSE)</f>
        <v>#N/A</v>
      </c>
      <c r="E38" s="29" t="str">
        <f>VLOOKUP(A38, AlFayoumi!A:O, 4, FALSE)</f>
        <v>#N/A</v>
      </c>
      <c r="F38" s="44" t="str">
        <f>IFERROR(VLOOKUP(B38, DataBase!A:O, 5, FALSE), "No Order Found")</f>
        <v>No Order Found</v>
      </c>
      <c r="G38" s="44" t="str">
        <f>IFERROR(VLOOKUP(B38, DataBase!A:O, 6, FALSE), "No Order Found")</f>
        <v>No Order Found</v>
      </c>
      <c r="H38" s="44" t="str">
        <f>IFERROR(VLOOKUP(B38, DataBase!A:O, 7, FALSE), "No Order Found")</f>
        <v>No Order Found</v>
      </c>
      <c r="I38" s="43" t="s">
        <v>1318</v>
      </c>
      <c r="J38" s="44" t="str">
        <f>IFERROR(VLOOKUP(A38, AlFayoumi!A:O, 3, FALSE), "No Order Found")</f>
        <v>No Order Found</v>
      </c>
      <c r="K38" s="12" t="str">
        <f t="shared" ref="K38:K43" si="4">"🧾 رقم " &amp; C38 &amp; CHAR(10) &amp; "📞 " &amp; D38 &amp; CHAR(10) &amp; "👤 " &amp; E38 &amp; CHAR(10) &amp; "📍 " &amp; F38 &amp; " - " &amp; G38 &amp; CHAR(10) &amp; "🗺️ " &amp; H38 &amp; CHAR(10) &amp; "🛒 الاوردر 👇" &amp; CHAR(10) &amp; J38 &amp; CHAR(10) &amp; "---------------------------"</f>
        <v>#N/A</v>
      </c>
      <c r="L38" s="43" t="s">
        <v>1320</v>
      </c>
      <c r="M38" s="29" t="e">
        <v>#N/A</v>
      </c>
      <c r="O38" s="42"/>
    </row>
    <row r="39" ht="14.25" customHeight="1">
      <c r="A39" s="44" t="str">
        <f>AlFayoumi!A39</f>
        <v/>
      </c>
      <c r="B39" s="44" t="str">
        <f>AlFayoumi!B39</f>
        <v/>
      </c>
      <c r="C39" s="43" t="str">
        <f>IFERROR(VLOOKUP(B39, Routes!B:G, 6, FALSE), "")</f>
        <v/>
      </c>
      <c r="D39" s="45" t="str">
        <f>VLOOKUP(A39, AlFayoumi!A:O, 5, FALSE)</f>
        <v>#N/A</v>
      </c>
      <c r="E39" s="29" t="str">
        <f>VLOOKUP(A39, AlFayoumi!A:O, 4, FALSE)</f>
        <v>#N/A</v>
      </c>
      <c r="F39" s="44" t="str">
        <f>IFERROR(VLOOKUP(B39, DataBase!A:O, 5, FALSE), "No Order Found")</f>
        <v>No Order Found</v>
      </c>
      <c r="G39" s="44" t="str">
        <f>IFERROR(VLOOKUP(B39, DataBase!A:O, 6, FALSE), "No Order Found")</f>
        <v>No Order Found</v>
      </c>
      <c r="H39" s="44" t="str">
        <f>IFERROR(VLOOKUP(B39, DataBase!A:O, 7, FALSE), "No Order Found")</f>
        <v>No Order Found</v>
      </c>
      <c r="I39" s="43" t="s">
        <v>1318</v>
      </c>
      <c r="J39" s="44" t="str">
        <f>IFERROR(VLOOKUP(A39, AlFayoumi!A:O, 3, FALSE), "No Order Found")</f>
        <v>No Order Found</v>
      </c>
      <c r="K39" s="12" t="str">
        <f t="shared" si="4"/>
        <v>#N/A</v>
      </c>
      <c r="L39" s="43" t="s">
        <v>1320</v>
      </c>
      <c r="M39" s="29" t="e">
        <v>#N/A</v>
      </c>
      <c r="N39" s="43"/>
      <c r="O39" s="29"/>
    </row>
    <row r="40" ht="14.25" customHeight="1">
      <c r="A40" s="44" t="str">
        <f>AlFayoumi!A40</f>
        <v/>
      </c>
      <c r="B40" s="44" t="str">
        <f>AlFayoumi!B40</f>
        <v/>
      </c>
      <c r="C40" s="43" t="str">
        <f>IFERROR(VLOOKUP(B40, Routes!B:G, 6, FALSE), "")</f>
        <v/>
      </c>
      <c r="D40" s="45" t="str">
        <f>VLOOKUP(A40, AlFayoumi!A:O, 5, FALSE)</f>
        <v>#N/A</v>
      </c>
      <c r="E40" s="29" t="str">
        <f>VLOOKUP(A40, AlFayoumi!A:O, 4, FALSE)</f>
        <v>#N/A</v>
      </c>
      <c r="F40" s="44" t="str">
        <f>IFERROR(VLOOKUP(B40, DataBase!A:O, 5, FALSE), "No Order Found")</f>
        <v>No Order Found</v>
      </c>
      <c r="G40" s="44" t="str">
        <f>IFERROR(VLOOKUP(B40, DataBase!A:O, 6, FALSE), "No Order Found")</f>
        <v>No Order Found</v>
      </c>
      <c r="H40" s="44" t="str">
        <f>IFERROR(VLOOKUP(B40, DataBase!A:O, 7, FALSE), "No Order Found")</f>
        <v>No Order Found</v>
      </c>
      <c r="I40" s="43" t="s">
        <v>1318</v>
      </c>
      <c r="J40" s="44" t="str">
        <f>IFERROR(VLOOKUP(A40, AlFayoumi!A:O, 3, FALSE), "No Order Found")</f>
        <v>No Order Found</v>
      </c>
      <c r="K40" s="12" t="str">
        <f t="shared" si="4"/>
        <v>#N/A</v>
      </c>
      <c r="L40" s="43" t="s">
        <v>1320</v>
      </c>
      <c r="M40" s="29" t="e">
        <v>#N/A</v>
      </c>
      <c r="N40" s="43"/>
      <c r="O40" s="29"/>
    </row>
    <row r="41" ht="14.25" customHeight="1">
      <c r="A41" s="44" t="str">
        <f>AlFayoumi!A41</f>
        <v/>
      </c>
      <c r="B41" s="44" t="str">
        <f>AlFayoumi!B41</f>
        <v/>
      </c>
      <c r="C41" s="43" t="str">
        <f>IFERROR(VLOOKUP(B41, Routes!B:G, 6, FALSE), "")</f>
        <v/>
      </c>
      <c r="D41" s="45" t="str">
        <f>VLOOKUP(A41, AlFayoumi!A:O, 5, FALSE)</f>
        <v>#N/A</v>
      </c>
      <c r="E41" s="29" t="str">
        <f>VLOOKUP(A41, AlFayoumi!A:O, 4, FALSE)</f>
        <v>#N/A</v>
      </c>
      <c r="F41" s="44" t="str">
        <f>IFERROR(VLOOKUP(B41, DataBase!A:O, 5, FALSE), "No Order Found")</f>
        <v>No Order Found</v>
      </c>
      <c r="G41" s="44" t="str">
        <f>IFERROR(VLOOKUP(B41, DataBase!A:O, 6, FALSE), "No Order Found")</f>
        <v>No Order Found</v>
      </c>
      <c r="H41" s="44" t="str">
        <f>IFERROR(VLOOKUP(B41, DataBase!A:O, 7, FALSE), "No Order Found")</f>
        <v>No Order Found</v>
      </c>
      <c r="I41" s="43" t="s">
        <v>1318</v>
      </c>
      <c r="J41" s="44" t="str">
        <f>IFERROR(VLOOKUP(A41, AlFayoumi!A:O, 3, FALSE), "No Order Found")</f>
        <v>No Order Found</v>
      </c>
      <c r="K41" s="12" t="str">
        <f t="shared" si="4"/>
        <v>#N/A</v>
      </c>
      <c r="L41" s="43" t="s">
        <v>1320</v>
      </c>
      <c r="M41" s="29" t="e">
        <v>#N/A</v>
      </c>
      <c r="O41" s="29"/>
    </row>
    <row r="42" ht="14.25" customHeight="1">
      <c r="A42" s="44" t="str">
        <f>AlFayoumi!A42</f>
        <v/>
      </c>
      <c r="B42" s="44" t="str">
        <f>AlFayoumi!B42</f>
        <v/>
      </c>
      <c r="C42" s="43" t="str">
        <f>IFERROR(VLOOKUP(B42, Routes!B:G, 6, FALSE), "")</f>
        <v/>
      </c>
      <c r="D42" s="45" t="str">
        <f>VLOOKUP(A42, AlFayoumi!A:O, 5, FALSE)</f>
        <v>#N/A</v>
      </c>
      <c r="E42" s="29" t="str">
        <f>VLOOKUP(A42, AlFayoumi!A:O, 4, FALSE)</f>
        <v>#N/A</v>
      </c>
      <c r="F42" s="44" t="str">
        <f>IFERROR(VLOOKUP(B42, DataBase!A:O, 5, FALSE), "No Order Found")</f>
        <v>No Order Found</v>
      </c>
      <c r="G42" s="44" t="str">
        <f>IFERROR(VLOOKUP(B42, DataBase!A:O, 6, FALSE), "No Order Found")</f>
        <v>No Order Found</v>
      </c>
      <c r="H42" s="44" t="str">
        <f>IFERROR(VLOOKUP(B42, DataBase!A:O, 7, FALSE), "No Order Found")</f>
        <v>No Order Found</v>
      </c>
      <c r="I42" s="43" t="s">
        <v>1318</v>
      </c>
      <c r="J42" s="44" t="str">
        <f>IFERROR(VLOOKUP(A42, AlFayoumi!A:O, 3, FALSE), "No Order Found")</f>
        <v>No Order Found</v>
      </c>
      <c r="K42" s="12" t="str">
        <f t="shared" si="4"/>
        <v>#N/A</v>
      </c>
      <c r="L42" s="43" t="s">
        <v>1320</v>
      </c>
      <c r="M42" s="29" t="e">
        <v>#N/A</v>
      </c>
      <c r="N42" s="43"/>
      <c r="O42" s="29"/>
    </row>
    <row r="43" ht="14.25" customHeight="1">
      <c r="A43" s="44" t="str">
        <f>AlFayoumi!A43</f>
        <v/>
      </c>
      <c r="B43" s="44" t="str">
        <f>AlFayoumi!B43</f>
        <v/>
      </c>
      <c r="C43" s="43" t="str">
        <f>IFERROR(VLOOKUP(B43, Routes!B:G, 6, FALSE), "")</f>
        <v/>
      </c>
      <c r="D43" s="45" t="str">
        <f>VLOOKUP(A43, AlFayoumi!A:O, 5, FALSE)</f>
        <v>#N/A</v>
      </c>
      <c r="E43" s="29" t="str">
        <f>VLOOKUP(A43, AlFayoumi!A:O, 4, FALSE)</f>
        <v>#N/A</v>
      </c>
      <c r="F43" s="44" t="str">
        <f>IFERROR(VLOOKUP(B43, DataBase!A:O, 5, FALSE), "No Order Found")</f>
        <v>No Order Found</v>
      </c>
      <c r="G43" s="44" t="str">
        <f>IFERROR(VLOOKUP(B43, DataBase!A:O, 6, FALSE), "No Order Found")</f>
        <v>No Order Found</v>
      </c>
      <c r="H43" s="44" t="str">
        <f>IFERROR(VLOOKUP(B43, DataBase!A:O, 7, FALSE), "No Order Found")</f>
        <v>No Order Found</v>
      </c>
      <c r="I43" s="43" t="s">
        <v>1318</v>
      </c>
      <c r="J43" s="44" t="str">
        <f>IFERROR(VLOOKUP(A43, AlFayoumi!A:O, 3, FALSE), "No Order Found")</f>
        <v>No Order Found</v>
      </c>
      <c r="K43" s="12" t="str">
        <f t="shared" si="4"/>
        <v>#N/A</v>
      </c>
      <c r="L43" s="43" t="s">
        <v>1320</v>
      </c>
      <c r="M43" s="29" t="e">
        <v>#N/A</v>
      </c>
      <c r="O43" s="42"/>
    </row>
    <row r="44" ht="14.25" customHeight="1">
      <c r="A44" s="44" t="str">
        <f>AlFayoumi!A44</f>
        <v/>
      </c>
      <c r="B44" s="44" t="str">
        <f>AlFayoumi!B44</f>
        <v/>
      </c>
      <c r="C44" s="43" t="str">
        <f>IFERROR(VLOOKUP(B44, Routes!B:G, 6, FALSE), "")</f>
        <v/>
      </c>
      <c r="D44" s="45" t="str">
        <f>VLOOKUP(A44, AlFayoumi!A:O, 5, FALSE)</f>
        <v>#N/A</v>
      </c>
      <c r="E44" s="29" t="str">
        <f>VLOOKUP(A44, AlFayoumi!A:O, 4, FALSE)</f>
        <v>#N/A</v>
      </c>
      <c r="F44" s="44" t="str">
        <f>IFERROR(VLOOKUP(B44, DataBase!A:O, 5, FALSE), "No Order Found")</f>
        <v>No Order Found</v>
      </c>
      <c r="G44" s="44" t="str">
        <f>IFERROR(VLOOKUP(B44, DataBase!A:O, 6, FALSE), "No Order Found")</f>
        <v>No Order Found</v>
      </c>
      <c r="H44" s="44" t="str">
        <f>IFERROR(VLOOKUP(B44, DataBase!A:O, 7, FALSE), "No Order Found")</f>
        <v>No Order Found</v>
      </c>
      <c r="I44" s="43" t="s">
        <v>1318</v>
      </c>
      <c r="J44" s="44" t="str">
        <f>IFERROR(VLOOKUP(A44, AlFayoumi!A:O, 3, FALSE), "No Order Found")</f>
        <v>No Order Found</v>
      </c>
      <c r="K44" s="12" t="str">
        <f>"🧾 رقم " &amp; C44 &amp; CHAR(10) &amp; "📞 " &amp; L44 &amp; D44 &amp; CHAR(10) &amp; "👤 " &amp; E44 &amp; CHAR(10) &amp; "📍 " &amp; F44 &amp; " - " &amp; G44 &amp; CHAR(10) &amp; "🗺️ " &amp; H44 &amp; CHAR(10) &amp; "🛒 الاوردر 👇" &amp; CHAR(10) &amp; J44 &amp; CHAR(10) &amp; "---------------------------"</f>
        <v>#N/A</v>
      </c>
      <c r="L44" s="43" t="s">
        <v>1320</v>
      </c>
      <c r="M44" s="29" t="e">
        <v>#N/A</v>
      </c>
      <c r="O44" s="42"/>
    </row>
    <row r="45" ht="14.25" customHeight="1">
      <c r="A45" s="44" t="str">
        <f>AlFayoumi!A45</f>
        <v/>
      </c>
      <c r="B45" s="44" t="str">
        <f>AlFayoumi!B45</f>
        <v/>
      </c>
      <c r="C45" s="43" t="str">
        <f>IFERROR(VLOOKUP(B45, Routes!B:G, 6, FALSE), "")</f>
        <v/>
      </c>
      <c r="D45" s="45" t="str">
        <f>VLOOKUP(A45, AlFayoumi!A:O, 5, FALSE)</f>
        <v>#N/A</v>
      </c>
      <c r="E45" s="29" t="str">
        <f>VLOOKUP(A45, AlFayoumi!A:O, 4, FALSE)</f>
        <v>#N/A</v>
      </c>
      <c r="F45" s="44" t="str">
        <f>IFERROR(VLOOKUP(B45, DataBase!A:O, 5, FALSE), "No Order Found")</f>
        <v>No Order Found</v>
      </c>
      <c r="G45" s="44" t="str">
        <f>IFERROR(VLOOKUP(B45, DataBase!A:O, 6, FALSE), "No Order Found")</f>
        <v>No Order Found</v>
      </c>
      <c r="H45" s="44" t="str">
        <f>IFERROR(VLOOKUP(B45, DataBase!A:O, 7, FALSE), "No Order Found")</f>
        <v>No Order Found</v>
      </c>
      <c r="I45" s="43" t="s">
        <v>1318</v>
      </c>
      <c r="J45" s="44" t="str">
        <f>IFERROR(VLOOKUP(A45, AlFayoumi!A:O, 3, FALSE), "No Order Found")</f>
        <v>No Order Found</v>
      </c>
      <c r="K45" s="12" t="str">
        <f>"🧾 رقم " &amp; C45 &amp; CHAR(10) &amp; "📞 " &amp; D45 &amp; CHAR(10) &amp; "👤 " &amp; E45 &amp; CHAR(10) &amp; "📍 " &amp; F45 &amp; " - " &amp; G45 &amp; CHAR(10) &amp; "🗺️ " &amp; H45 &amp; CHAR(10) &amp; "🛒 الاوردر 👇" &amp; CHAR(10) &amp; J45 &amp; CHAR(10) &amp; "---------------------------"</f>
        <v>#N/A</v>
      </c>
      <c r="L45" s="43" t="s">
        <v>1320</v>
      </c>
      <c r="M45" s="29" t="e">
        <v>#N/A</v>
      </c>
      <c r="O45" s="29"/>
    </row>
    <row r="46" ht="14.25" customHeight="1">
      <c r="A46" s="44" t="str">
        <f>AlFayoumi!A46</f>
        <v/>
      </c>
      <c r="B46" s="44" t="str">
        <f>AlFayoumi!B46</f>
        <v/>
      </c>
      <c r="C46" s="43" t="str">
        <f>IFERROR(VLOOKUP(B46, Routes!B:G, 6, FALSE), "")</f>
        <v/>
      </c>
      <c r="D46" s="45" t="str">
        <f>VLOOKUP(A46, AlFayoumi!A:O, 5, FALSE)</f>
        <v>#N/A</v>
      </c>
      <c r="E46" s="29" t="str">
        <f>VLOOKUP(A46, AlFayoumi!A:O, 4, FALSE)</f>
        <v>#N/A</v>
      </c>
      <c r="F46" s="44" t="str">
        <f>IFERROR(VLOOKUP(B46, DataBase!A:O, 5, FALSE), "No Order Found")</f>
        <v>No Order Found</v>
      </c>
      <c r="G46" s="44" t="str">
        <f>IFERROR(VLOOKUP(B46, DataBase!A:O, 6, FALSE), "No Order Found")</f>
        <v>No Order Found</v>
      </c>
      <c r="H46" s="44" t="str">
        <f>IFERROR(VLOOKUP(B46, DataBase!A:O, 7, FALSE), "No Order Found")</f>
        <v>No Order Found</v>
      </c>
      <c r="I46" s="43" t="s">
        <v>1318</v>
      </c>
      <c r="J46" s="44" t="str">
        <f>IFERROR(VLOOKUP(A46, AlFayoumi!A:O, 3, FALSE), "No Order Found")</f>
        <v>No Order Found</v>
      </c>
      <c r="K46" s="12" t="str">
        <f>"🧾 رقم " &amp; C46 &amp; CHAR(10) &amp; "📞 " &amp; L46 &amp; D46 &amp; CHAR(10) &amp; "👤 " &amp; E46 &amp; CHAR(10) &amp; "📍 " &amp; F46 &amp; " - " &amp; G46 &amp; CHAR(10) &amp; "🗺️ " &amp; H46 &amp; CHAR(10) &amp; "🛒 الاوردر 👇" &amp; CHAR(10) &amp; J46 &amp; CHAR(10) &amp; "---------------------------"</f>
        <v>#N/A</v>
      </c>
      <c r="L46" s="43" t="s">
        <v>1320</v>
      </c>
      <c r="M46" s="29" t="e">
        <v>#N/A</v>
      </c>
      <c r="O46" s="42"/>
    </row>
    <row r="47" ht="14.25" customHeight="1">
      <c r="A47" s="44" t="str">
        <f>AlFayoumi!A47</f>
        <v/>
      </c>
      <c r="B47" s="44" t="str">
        <f>AlFayoumi!B47</f>
        <v/>
      </c>
      <c r="C47" s="43" t="str">
        <f>IFERROR(VLOOKUP(B47, Routes!B:G, 6, FALSE), "")</f>
        <v/>
      </c>
      <c r="D47" s="45" t="str">
        <f>VLOOKUP(A47, AlFayoumi!A:O, 5, FALSE)</f>
        <v>#N/A</v>
      </c>
      <c r="E47" s="29" t="str">
        <f>VLOOKUP(A47, AlFayoumi!A:O, 4, FALSE)</f>
        <v>#N/A</v>
      </c>
      <c r="F47" s="44" t="str">
        <f>IFERROR(VLOOKUP(B47, DataBase!A:O, 5, FALSE), "No Order Found")</f>
        <v>No Order Found</v>
      </c>
      <c r="G47" s="44" t="str">
        <f>IFERROR(VLOOKUP(B47, DataBase!A:O, 6, FALSE), "No Order Found")</f>
        <v>No Order Found</v>
      </c>
      <c r="H47" s="44" t="str">
        <f>IFERROR(VLOOKUP(B47, DataBase!A:O, 7, FALSE), "No Order Found")</f>
        <v>No Order Found</v>
      </c>
      <c r="I47" s="43" t="s">
        <v>1318</v>
      </c>
      <c r="J47" s="44" t="str">
        <f>IFERROR(VLOOKUP(A47, AlFayoumi!A:O, 3, FALSE), "No Order Found")</f>
        <v>No Order Found</v>
      </c>
      <c r="K47" s="12" t="str">
        <f t="shared" ref="K47:K48" si="5">"🧾 رقم " &amp; C47 &amp; CHAR(10) &amp; "📞 " &amp; D47 &amp; CHAR(10) &amp; "👤 " &amp; E47 &amp; CHAR(10) &amp; "📍 " &amp; F47 &amp; " - " &amp; G47 &amp; CHAR(10) &amp; "🗺️ " &amp; H47 &amp; CHAR(10) &amp; "🛒 الاوردر 👇" &amp; CHAR(10) &amp; J47 &amp; CHAR(10) &amp; "---------------------------"</f>
        <v>#N/A</v>
      </c>
      <c r="L47" s="43" t="s">
        <v>1320</v>
      </c>
      <c r="M47" s="29" t="e">
        <v>#N/A</v>
      </c>
      <c r="N47" s="43"/>
      <c r="O47" s="29"/>
    </row>
    <row r="48" ht="14.25" customHeight="1">
      <c r="A48" s="44" t="str">
        <f>AlFayoumi!A48</f>
        <v/>
      </c>
      <c r="B48" s="44" t="str">
        <f>AlFayoumi!B48</f>
        <v/>
      </c>
      <c r="C48" s="43" t="str">
        <f>IFERROR(VLOOKUP(B48, Routes!B:G, 6, FALSE), "")</f>
        <v/>
      </c>
      <c r="D48" s="45" t="str">
        <f>VLOOKUP(A48, AlFayoumi!A:O, 5, FALSE)</f>
        <v>#N/A</v>
      </c>
      <c r="E48" s="29" t="str">
        <f>VLOOKUP(A48, AlFayoumi!A:O, 4, FALSE)</f>
        <v>#N/A</v>
      </c>
      <c r="F48" s="44" t="str">
        <f>IFERROR(VLOOKUP(B48, DataBase!A:O, 5, FALSE), "No Order Found")</f>
        <v>No Order Found</v>
      </c>
      <c r="G48" s="44" t="str">
        <f>IFERROR(VLOOKUP(B48, DataBase!A:O, 6, FALSE), "No Order Found")</f>
        <v>No Order Found</v>
      </c>
      <c r="H48" s="44" t="str">
        <f>IFERROR(VLOOKUP(B48, DataBase!A:O, 7, FALSE), "No Order Found")</f>
        <v>No Order Found</v>
      </c>
      <c r="I48" s="43" t="s">
        <v>1318</v>
      </c>
      <c r="J48" s="44" t="str">
        <f>IFERROR(VLOOKUP(A48, AlFayoumi!A:O, 3, FALSE), "No Order Found")</f>
        <v>No Order Found</v>
      </c>
      <c r="K48" s="12" t="str">
        <f t="shared" si="5"/>
        <v>#N/A</v>
      </c>
      <c r="L48" s="43" t="s">
        <v>1320</v>
      </c>
      <c r="M48" s="29" t="e">
        <v>#N/A</v>
      </c>
      <c r="O48" s="29"/>
    </row>
    <row r="49" ht="14.25" customHeight="1">
      <c r="A49" s="44" t="str">
        <f>AlFayoumi!A49</f>
        <v/>
      </c>
      <c r="B49" s="44" t="str">
        <f>AlFayoumi!B49</f>
        <v/>
      </c>
      <c r="C49" s="43" t="str">
        <f>IFERROR(VLOOKUP(B49, Routes!B:G, 6, FALSE), "")</f>
        <v/>
      </c>
      <c r="D49" s="45"/>
      <c r="E49" s="29"/>
      <c r="I49" s="43"/>
      <c r="L49" s="43" t="s">
        <v>1320</v>
      </c>
      <c r="M49" s="29"/>
      <c r="O49" s="42"/>
    </row>
    <row r="50" ht="14.25" customHeight="1">
      <c r="A50" s="44" t="str">
        <f>AlFayoumi!A50</f>
        <v/>
      </c>
      <c r="B50" s="44" t="str">
        <f>AlFayoumi!B50</f>
        <v/>
      </c>
      <c r="C50" s="43" t="str">
        <f>IFERROR(VLOOKUP(B50, Routes!B:G, 6, FALSE), "")</f>
        <v/>
      </c>
      <c r="D50" s="45"/>
      <c r="E50" s="29"/>
      <c r="I50" s="43"/>
      <c r="L50" s="43" t="s">
        <v>1320</v>
      </c>
      <c r="M50" s="29"/>
      <c r="O50" s="42"/>
    </row>
    <row r="51" ht="14.25" customHeight="1">
      <c r="A51" s="44" t="str">
        <f>AlFayoumi!A51</f>
        <v/>
      </c>
      <c r="B51" s="44" t="str">
        <f>AlFayoumi!B51</f>
        <v/>
      </c>
      <c r="C51" s="43" t="str">
        <f>IFERROR(VLOOKUP(B51, Routes!B:G, 6, FALSE), "")</f>
        <v/>
      </c>
      <c r="D51" s="45"/>
      <c r="E51" s="29"/>
      <c r="I51" s="43"/>
      <c r="L51" s="43" t="s">
        <v>1320</v>
      </c>
      <c r="M51" s="29"/>
      <c r="O51" s="42"/>
    </row>
    <row r="52" ht="14.25" customHeight="1">
      <c r="A52" s="44" t="str">
        <f>AlFayoumi!A52</f>
        <v/>
      </c>
      <c r="B52" s="44" t="str">
        <f>AlFayoumi!B52</f>
        <v/>
      </c>
      <c r="C52" s="43" t="str">
        <f>IFERROR(VLOOKUP(B52, Routes!B:G, 6, FALSE), "")</f>
        <v/>
      </c>
      <c r="D52" s="45"/>
      <c r="E52" s="29"/>
      <c r="I52" s="43"/>
      <c r="L52" s="43" t="s">
        <v>1320</v>
      </c>
      <c r="M52" s="29"/>
      <c r="O52" s="42"/>
    </row>
    <row r="53" ht="14.25" customHeight="1">
      <c r="A53" s="44" t="str">
        <f>AlFayoumi!A53</f>
        <v/>
      </c>
      <c r="B53" s="44" t="str">
        <f>AlFayoumi!B53</f>
        <v/>
      </c>
      <c r="C53" s="43" t="str">
        <f>IFERROR(VLOOKUP(B53, Routes!B:G, 6, FALSE), "")</f>
        <v/>
      </c>
      <c r="D53" s="42"/>
      <c r="E53" s="42"/>
      <c r="L53" s="43" t="s">
        <v>1320</v>
      </c>
      <c r="M53" s="42"/>
      <c r="O53" s="42"/>
    </row>
    <row r="54" ht="14.25" customHeight="1">
      <c r="A54" s="44" t="str">
        <f>AlFayoumi!A54</f>
        <v/>
      </c>
      <c r="B54" s="44" t="str">
        <f>AlFayoumi!B54</f>
        <v/>
      </c>
      <c r="C54" s="43" t="str">
        <f>IFERROR(VLOOKUP(B54, Routes!B:G, 6, FALSE), "")</f>
        <v/>
      </c>
      <c r="D54" s="42"/>
      <c r="E54" s="42"/>
      <c r="L54" s="43" t="s">
        <v>1320</v>
      </c>
      <c r="M54" s="42"/>
      <c r="O54" s="42"/>
    </row>
    <row r="55" ht="14.25" customHeight="1">
      <c r="A55" s="44" t="str">
        <f>AlFayoumi!A55</f>
        <v/>
      </c>
      <c r="B55" s="44" t="str">
        <f>AlFayoumi!B55</f>
        <v/>
      </c>
      <c r="D55" s="42"/>
      <c r="E55" s="42"/>
      <c r="M55" s="42"/>
      <c r="O55" s="42"/>
    </row>
    <row r="56" ht="14.25" customHeight="1">
      <c r="A56" s="44" t="str">
        <f>AlFayoumi!A56</f>
        <v/>
      </c>
      <c r="B56" s="44" t="str">
        <f>AlFayoumi!B56</f>
        <v/>
      </c>
      <c r="D56" s="42"/>
      <c r="E56" s="42"/>
      <c r="M56" s="42"/>
      <c r="O56" s="42"/>
    </row>
    <row r="57" ht="14.25" customHeight="1">
      <c r="A57" s="44" t="str">
        <f>AlFayoumi!A56</f>
        <v/>
      </c>
      <c r="B57" s="44" t="str">
        <f>AlFayoumi!B56</f>
        <v/>
      </c>
      <c r="D57" s="42"/>
      <c r="E57" s="42"/>
      <c r="M57" s="42"/>
      <c r="O57" s="42"/>
    </row>
    <row r="58" ht="14.25" customHeight="1">
      <c r="A58" s="44" t="str">
        <f>AlFayoumi!A57</f>
        <v/>
      </c>
      <c r="B58" s="44" t="str">
        <f>AlFayoumi!B57</f>
        <v/>
      </c>
      <c r="D58" s="42"/>
      <c r="E58" s="42"/>
      <c r="M58" s="42"/>
      <c r="O58" s="42"/>
    </row>
    <row r="59" ht="14.25" customHeight="1">
      <c r="A59" s="44" t="str">
        <f>AlFayoumi!A58</f>
        <v/>
      </c>
      <c r="B59" s="44" t="str">
        <f>AlFayoumi!B58</f>
        <v/>
      </c>
      <c r="D59" s="42"/>
      <c r="E59" s="42"/>
      <c r="M59" s="42"/>
      <c r="O59" s="42"/>
    </row>
    <row r="60" ht="14.25" customHeight="1">
      <c r="A60" s="44" t="str">
        <f>AlFayoumi!A59</f>
        <v/>
      </c>
      <c r="B60" s="44" t="str">
        <f>AlFayoumi!B59</f>
        <v/>
      </c>
      <c r="D60" s="42"/>
      <c r="E60" s="42"/>
      <c r="M60" s="42"/>
      <c r="O60" s="42"/>
    </row>
    <row r="61" ht="14.25" customHeight="1">
      <c r="A61" s="44" t="str">
        <f>AlFayoumi!A60</f>
        <v/>
      </c>
      <c r="B61" s="44" t="str">
        <f>AlFayoumi!B60</f>
        <v/>
      </c>
      <c r="D61" s="42"/>
      <c r="E61" s="42"/>
      <c r="M61" s="42"/>
      <c r="O61" s="42"/>
    </row>
    <row r="62" ht="14.25" customHeight="1">
      <c r="A62" s="44" t="str">
        <f>AlFayoumi!A61</f>
        <v/>
      </c>
      <c r="B62" s="44" t="str">
        <f>AlFayoumi!B61</f>
        <v/>
      </c>
      <c r="D62" s="42"/>
      <c r="E62" s="42"/>
      <c r="M62" s="42"/>
      <c r="O62" s="42"/>
    </row>
    <row r="63" ht="14.25" customHeight="1">
      <c r="A63" s="44" t="str">
        <f>AlFayoumi!A62</f>
        <v/>
      </c>
      <c r="B63" s="44" t="str">
        <f>AlFayoumi!B62</f>
        <v/>
      </c>
      <c r="D63" s="42"/>
      <c r="E63" s="42"/>
      <c r="M63" s="42"/>
      <c r="O63" s="42"/>
    </row>
    <row r="64" ht="14.25" customHeight="1">
      <c r="A64" s="44" t="str">
        <f>AlFayoumi!A63</f>
        <v/>
      </c>
      <c r="B64" s="44" t="str">
        <f>AlFayoumi!B63</f>
        <v/>
      </c>
      <c r="D64" s="42"/>
      <c r="E64" s="42"/>
      <c r="M64" s="42"/>
      <c r="O64" s="42"/>
    </row>
    <row r="65" ht="14.25" customHeight="1">
      <c r="A65" s="44" t="str">
        <f>AlFayoumi!A64</f>
        <v/>
      </c>
      <c r="B65" s="44" t="str">
        <f>AlFayoumi!B64</f>
        <v/>
      </c>
      <c r="D65" s="42"/>
      <c r="E65" s="42"/>
      <c r="M65" s="42"/>
      <c r="O65" s="42"/>
    </row>
    <row r="66" ht="14.25" customHeight="1">
      <c r="A66" s="44" t="str">
        <f>AlFayoumi!A65</f>
        <v/>
      </c>
      <c r="B66" s="44" t="str">
        <f>AlFayoumi!B65</f>
        <v/>
      </c>
      <c r="D66" s="42"/>
      <c r="E66" s="42"/>
      <c r="M66" s="42"/>
      <c r="O66" s="42"/>
    </row>
    <row r="67" ht="14.25" customHeight="1">
      <c r="A67" s="44" t="str">
        <f>AlFayoumi!A66</f>
        <v/>
      </c>
      <c r="B67" s="44" t="str">
        <f>AlFayoumi!B66</f>
        <v/>
      </c>
      <c r="D67" s="42"/>
      <c r="E67" s="42"/>
      <c r="M67" s="42"/>
      <c r="O67" s="42"/>
    </row>
    <row r="68" ht="14.25" customHeight="1">
      <c r="A68" s="44" t="str">
        <f>AlFayoumi!A67</f>
        <v/>
      </c>
      <c r="B68" s="44" t="str">
        <f>AlFayoumi!B67</f>
        <v/>
      </c>
      <c r="D68" s="42"/>
      <c r="E68" s="42"/>
      <c r="M68" s="42"/>
      <c r="O68" s="42"/>
    </row>
    <row r="69" ht="14.25" customHeight="1">
      <c r="A69" s="44" t="str">
        <f>AlFayoumi!A68</f>
        <v/>
      </c>
      <c r="B69" s="44" t="str">
        <f>AlFayoumi!B68</f>
        <v/>
      </c>
      <c r="D69" s="42"/>
      <c r="E69" s="42"/>
      <c r="M69" s="42"/>
      <c r="O69" s="42"/>
    </row>
    <row r="70" ht="14.25" customHeight="1">
      <c r="A70" s="44" t="str">
        <f>AlFayoumi!A69</f>
        <v/>
      </c>
      <c r="B70" s="44" t="str">
        <f>AlFayoumi!B69</f>
        <v/>
      </c>
      <c r="D70" s="42"/>
      <c r="E70" s="42"/>
      <c r="M70" s="42"/>
      <c r="O70" s="42"/>
    </row>
    <row r="71" ht="14.25" customHeight="1">
      <c r="A71" s="44" t="str">
        <f>AlFayoumi!A70</f>
        <v/>
      </c>
      <c r="B71" s="44" t="str">
        <f>AlFayoumi!B70</f>
        <v/>
      </c>
      <c r="D71" s="42"/>
      <c r="E71" s="42"/>
      <c r="M71" s="42"/>
      <c r="O71" s="42"/>
    </row>
    <row r="72" ht="14.25" customHeight="1">
      <c r="A72" s="44" t="str">
        <f>AlFayoumi!A71</f>
        <v/>
      </c>
      <c r="B72" s="44" t="str">
        <f>AlFayoumi!B71</f>
        <v/>
      </c>
      <c r="D72" s="42"/>
      <c r="E72" s="42"/>
      <c r="M72" s="42"/>
      <c r="O72" s="42"/>
    </row>
    <row r="73" ht="14.25" customHeight="1">
      <c r="A73" s="44" t="str">
        <f>AlFayoumi!A72</f>
        <v/>
      </c>
      <c r="B73" s="44" t="str">
        <f>AlFayoumi!B72</f>
        <v/>
      </c>
      <c r="D73" s="42"/>
      <c r="E73" s="42"/>
      <c r="M73" s="42"/>
      <c r="O73" s="42"/>
    </row>
    <row r="74" ht="14.25" customHeight="1">
      <c r="A74" s="44" t="str">
        <f>AlFayoumi!A73</f>
        <v/>
      </c>
      <c r="B74" s="44" t="str">
        <f>AlFayoumi!B73</f>
        <v/>
      </c>
      <c r="D74" s="42"/>
      <c r="E74" s="42"/>
      <c r="M74" s="42"/>
      <c r="O74" s="42"/>
    </row>
    <row r="75" ht="14.25" customHeight="1">
      <c r="A75" s="44" t="str">
        <f>AlFayoumi!A74</f>
        <v/>
      </c>
      <c r="B75" s="44" t="str">
        <f>AlFayoumi!B74</f>
        <v/>
      </c>
      <c r="D75" s="42"/>
      <c r="E75" s="42"/>
      <c r="M75" s="42"/>
      <c r="O75" s="42"/>
    </row>
    <row r="76" ht="14.25" customHeight="1">
      <c r="A76" s="44" t="str">
        <f>AlFayoumi!A75</f>
        <v/>
      </c>
      <c r="B76" s="44" t="str">
        <f>AlFayoumi!B75</f>
        <v/>
      </c>
      <c r="D76" s="42"/>
      <c r="E76" s="42"/>
      <c r="M76" s="42"/>
      <c r="O76" s="42"/>
    </row>
    <row r="77" ht="14.25" customHeight="1">
      <c r="A77" s="44" t="str">
        <f>AlFayoumi!A76</f>
        <v/>
      </c>
      <c r="B77" s="44" t="str">
        <f>AlFayoumi!B76</f>
        <v/>
      </c>
      <c r="D77" s="42"/>
      <c r="E77" s="42"/>
      <c r="M77" s="42"/>
      <c r="O77" s="42"/>
    </row>
    <row r="78" ht="14.25" customHeight="1">
      <c r="A78" s="44" t="str">
        <f>AlFayoumi!A77</f>
        <v/>
      </c>
      <c r="B78" s="44" t="str">
        <f>AlFayoumi!B77</f>
        <v/>
      </c>
      <c r="D78" s="42"/>
      <c r="E78" s="42"/>
      <c r="M78" s="42"/>
      <c r="O78" s="42"/>
    </row>
    <row r="79" ht="14.25" customHeight="1">
      <c r="A79" s="44" t="str">
        <f>AlFayoumi!A78</f>
        <v/>
      </c>
      <c r="B79" s="44" t="str">
        <f>AlFayoumi!B78</f>
        <v/>
      </c>
      <c r="D79" s="42"/>
      <c r="E79" s="42"/>
      <c r="M79" s="42"/>
      <c r="O79" s="42"/>
    </row>
    <row r="80" ht="14.25" customHeight="1">
      <c r="A80" s="44" t="str">
        <f>AlFayoumi!A79</f>
        <v/>
      </c>
      <c r="B80" s="44" t="str">
        <f>AlFayoumi!B79</f>
        <v/>
      </c>
      <c r="D80" s="42"/>
      <c r="E80" s="42"/>
      <c r="M80" s="42"/>
      <c r="O80" s="42"/>
    </row>
    <row r="81" ht="14.25" customHeight="1">
      <c r="A81" s="44" t="str">
        <f>AlFayoumi!A80</f>
        <v/>
      </c>
      <c r="B81" s="44" t="str">
        <f>AlFayoumi!B80</f>
        <v/>
      </c>
      <c r="D81" s="42"/>
      <c r="E81" s="42"/>
      <c r="M81" s="42"/>
      <c r="O81" s="42"/>
    </row>
    <row r="82" ht="14.25" customHeight="1">
      <c r="A82" s="44" t="str">
        <f>AlFayoumi!A81</f>
        <v/>
      </c>
      <c r="B82" s="44" t="str">
        <f>AlFayoumi!B81</f>
        <v/>
      </c>
      <c r="D82" s="42"/>
      <c r="E82" s="42"/>
      <c r="M82" s="42"/>
      <c r="O82" s="42"/>
    </row>
    <row r="83" ht="14.25" customHeight="1">
      <c r="A83" s="44" t="str">
        <f>AlFayoumi!A11</f>
        <v>O1779285905718</v>
      </c>
      <c r="B83" s="44" t="str">
        <f>AlFayoumi!B11</f>
        <v>C1768655293606</v>
      </c>
      <c r="D83" s="42"/>
      <c r="E83" s="42"/>
      <c r="M83" s="42"/>
      <c r="O83" s="42"/>
    </row>
    <row r="84" ht="14.25" customHeight="1">
      <c r="A84" s="44" t="str">
        <f>AlFayoumi!A12</f>
        <v>O1779289844939</v>
      </c>
      <c r="B84" s="44" t="str">
        <f>AlFayoumi!B12</f>
        <v>C1776633916549</v>
      </c>
      <c r="D84" s="42"/>
      <c r="E84" s="42"/>
      <c r="M84" s="42"/>
      <c r="O84" s="42"/>
    </row>
    <row r="85" ht="14.25" customHeight="1">
      <c r="A85" s="44" t="str">
        <f>AlFayoumi!A13</f>
        <v/>
      </c>
      <c r="B85" s="44" t="str">
        <f>AlFayoumi!B13</f>
        <v/>
      </c>
      <c r="D85" s="42"/>
      <c r="E85" s="42"/>
      <c r="M85" s="42"/>
      <c r="O85" s="42"/>
    </row>
    <row r="86" ht="14.25" customHeight="1">
      <c r="A86" s="44" t="str">
        <f>AlFayoumi!A14</f>
        <v/>
      </c>
      <c r="B86" s="44" t="str">
        <f>AlFayoumi!B14</f>
        <v/>
      </c>
      <c r="D86" s="42"/>
      <c r="E86" s="42"/>
      <c r="M86" s="42"/>
      <c r="O86" s="42"/>
    </row>
    <row r="87" ht="14.25" customHeight="1">
      <c r="A87" s="44" t="str">
        <f>AlFayoumi!A15</f>
        <v/>
      </c>
      <c r="B87" s="44" t="str">
        <f>AlFayoumi!B15</f>
        <v/>
      </c>
      <c r="D87" s="42"/>
      <c r="E87" s="42"/>
      <c r="M87" s="42"/>
      <c r="O87" s="42"/>
    </row>
    <row r="88" ht="14.25" customHeight="1">
      <c r="A88" s="44" t="str">
        <f>AlFayoumi!A16</f>
        <v/>
      </c>
      <c r="B88" s="44" t="str">
        <f>AlFayoumi!B16</f>
        <v/>
      </c>
      <c r="D88" s="42"/>
      <c r="E88" s="42"/>
      <c r="M88" s="42"/>
      <c r="O88" s="42"/>
    </row>
    <row r="89" ht="14.25" customHeight="1">
      <c r="A89" s="44" t="str">
        <f>AlFayoumi!A17</f>
        <v/>
      </c>
      <c r="B89" s="44" t="str">
        <f>AlFayoumi!B17</f>
        <v/>
      </c>
      <c r="D89" s="42"/>
      <c r="E89" s="42"/>
      <c r="M89" s="42"/>
      <c r="O89" s="42"/>
    </row>
    <row r="90" ht="14.25" customHeight="1">
      <c r="A90" s="44" t="str">
        <f>AlFayoumi!A18</f>
        <v/>
      </c>
      <c r="B90" s="44" t="str">
        <f>AlFayoumi!B18</f>
        <v/>
      </c>
      <c r="D90" s="42"/>
      <c r="E90" s="42"/>
      <c r="M90" s="42"/>
      <c r="O90" s="42"/>
    </row>
    <row r="91" ht="14.25" customHeight="1">
      <c r="A91" s="44" t="str">
        <f>AlFayoumi!A19</f>
        <v/>
      </c>
      <c r="B91" s="44" t="str">
        <f>AlFayoumi!B19</f>
        <v/>
      </c>
      <c r="D91" s="42"/>
      <c r="E91" s="42"/>
      <c r="M91" s="42"/>
      <c r="O91" s="42"/>
    </row>
    <row r="92" ht="14.25" customHeight="1">
      <c r="A92" s="44" t="str">
        <f>AlFayoumi!A20</f>
        <v/>
      </c>
      <c r="B92" s="44" t="str">
        <f>AlFayoumi!B20</f>
        <v/>
      </c>
      <c r="D92" s="42"/>
      <c r="E92" s="42"/>
      <c r="M92" s="42"/>
      <c r="O92" s="42"/>
    </row>
    <row r="93" ht="14.25" customHeight="1">
      <c r="A93" s="44" t="str">
        <f>AlFayoumi!A21</f>
        <v/>
      </c>
      <c r="B93" s="44" t="str">
        <f>AlFayoumi!B21</f>
        <v/>
      </c>
      <c r="D93" s="42"/>
      <c r="E93" s="42"/>
      <c r="M93" s="42"/>
      <c r="O93" s="42"/>
    </row>
    <row r="94" ht="14.25" customHeight="1">
      <c r="A94" s="44" t="str">
        <f>AlFayoumi!A22</f>
        <v/>
      </c>
      <c r="B94" s="44" t="str">
        <f>AlFayoumi!B22</f>
        <v/>
      </c>
      <c r="D94" s="42"/>
      <c r="E94" s="42"/>
      <c r="M94" s="42"/>
      <c r="O94" s="42"/>
    </row>
    <row r="95" ht="14.25" customHeight="1">
      <c r="A95" s="44" t="str">
        <f>AlFayoumi!A23</f>
        <v/>
      </c>
      <c r="B95" s="44" t="str">
        <f>AlFayoumi!B23</f>
        <v/>
      </c>
      <c r="D95" s="42"/>
      <c r="E95" s="42"/>
      <c r="M95" s="42"/>
      <c r="O95" s="42"/>
    </row>
    <row r="96" ht="14.25" customHeight="1">
      <c r="A96" s="44" t="str">
        <f>AlFayoumi!A24</f>
        <v/>
      </c>
      <c r="B96" s="44" t="str">
        <f>AlFayoumi!B24</f>
        <v/>
      </c>
      <c r="D96" s="42"/>
      <c r="E96" s="42"/>
      <c r="M96" s="42"/>
      <c r="O96" s="42"/>
    </row>
    <row r="97" ht="14.25" customHeight="1">
      <c r="A97" s="44" t="str">
        <f>AlFayoumi!A25</f>
        <v/>
      </c>
      <c r="B97" s="44" t="str">
        <f>AlFayoumi!B25</f>
        <v/>
      </c>
      <c r="D97" s="42"/>
      <c r="E97" s="42"/>
      <c r="M97" s="42"/>
      <c r="O97" s="42"/>
    </row>
    <row r="98" ht="14.25" customHeight="1">
      <c r="A98" s="44" t="str">
        <f>AlFayoumi!A26</f>
        <v/>
      </c>
      <c r="B98" s="44" t="str">
        <f>AlFayoumi!B26</f>
        <v/>
      </c>
      <c r="D98" s="42"/>
      <c r="E98" s="42"/>
      <c r="M98" s="42"/>
      <c r="O98" s="42"/>
    </row>
    <row r="99" ht="14.25" customHeight="1">
      <c r="A99" s="44" t="str">
        <f>AlFayoumi!A27</f>
        <v/>
      </c>
      <c r="B99" s="44" t="str">
        <f>AlFayoumi!B27</f>
        <v/>
      </c>
      <c r="D99" s="42"/>
      <c r="E99" s="42"/>
      <c r="M99" s="42"/>
      <c r="O99" s="42"/>
    </row>
    <row r="100" ht="14.25" customHeight="1">
      <c r="A100" s="44" t="str">
        <f>AlFayoumi!A28</f>
        <v/>
      </c>
      <c r="B100" s="44" t="str">
        <f>AlFayoumi!B28</f>
        <v/>
      </c>
      <c r="D100" s="42"/>
      <c r="E100" s="42"/>
      <c r="M100" s="42"/>
      <c r="O100" s="42"/>
    </row>
    <row r="101" ht="14.25" customHeight="1">
      <c r="A101" s="44" t="str">
        <f>AlFayoumi!A29</f>
        <v/>
      </c>
      <c r="B101" s="44" t="str">
        <f>AlFayoumi!B29</f>
        <v/>
      </c>
      <c r="D101" s="42"/>
      <c r="E101" s="42"/>
      <c r="M101" s="42"/>
      <c r="O101" s="42"/>
    </row>
    <row r="102" ht="14.25" customHeight="1">
      <c r="A102" s="44" t="str">
        <f>AlFayoumi!A30</f>
        <v/>
      </c>
      <c r="B102" s="44" t="str">
        <f>AlFayoumi!B30</f>
        <v/>
      </c>
      <c r="D102" s="42"/>
      <c r="E102" s="42"/>
      <c r="M102" s="42"/>
      <c r="O102" s="42"/>
    </row>
    <row r="103" ht="14.25" customHeight="1">
      <c r="A103" s="44" t="str">
        <f>AlFayoumi!A31</f>
        <v/>
      </c>
      <c r="B103" s="44" t="str">
        <f>AlFayoumi!B31</f>
        <v/>
      </c>
      <c r="D103" s="42"/>
      <c r="E103" s="42"/>
      <c r="M103" s="42"/>
      <c r="O103" s="42"/>
    </row>
    <row r="104" ht="14.25" customHeight="1">
      <c r="D104" s="42"/>
      <c r="E104" s="42"/>
      <c r="M104" s="42"/>
      <c r="O104" s="42"/>
    </row>
    <row r="105" ht="14.25" customHeight="1">
      <c r="D105" s="42"/>
      <c r="E105" s="42"/>
      <c r="M105" s="42"/>
      <c r="O105" s="42"/>
    </row>
    <row r="106" ht="14.25" customHeight="1">
      <c r="D106" s="42"/>
      <c r="E106" s="42"/>
      <c r="M106" s="42"/>
      <c r="O106" s="42"/>
    </row>
    <row r="107" ht="14.25" customHeight="1">
      <c r="D107" s="42"/>
      <c r="E107" s="42"/>
      <c r="M107" s="42"/>
      <c r="O107" s="42"/>
    </row>
    <row r="108" ht="14.25" customHeight="1">
      <c r="D108" s="42"/>
      <c r="E108" s="42"/>
      <c r="M108" s="42"/>
      <c r="O108" s="42"/>
    </row>
    <row r="109" ht="14.25" customHeight="1">
      <c r="D109" s="42"/>
      <c r="E109" s="42"/>
      <c r="M109" s="42"/>
      <c r="O109" s="42"/>
    </row>
    <row r="110" ht="14.25" customHeight="1">
      <c r="D110" s="42"/>
      <c r="E110" s="42"/>
      <c r="M110" s="42"/>
      <c r="O110" s="42"/>
    </row>
    <row r="111" ht="14.25" customHeight="1">
      <c r="D111" s="42"/>
      <c r="E111" s="42"/>
      <c r="M111" s="42"/>
      <c r="O111" s="42"/>
    </row>
    <row r="112" ht="14.25" customHeight="1">
      <c r="D112" s="42"/>
      <c r="E112" s="42"/>
      <c r="M112" s="42"/>
      <c r="O112" s="42"/>
    </row>
    <row r="113" ht="14.25" customHeight="1">
      <c r="D113" s="42"/>
      <c r="E113" s="42"/>
      <c r="M113" s="42"/>
      <c r="O113" s="42"/>
    </row>
    <row r="114" ht="14.25" customHeight="1">
      <c r="D114" s="42"/>
      <c r="E114" s="42"/>
      <c r="M114" s="42"/>
      <c r="O114" s="42"/>
    </row>
    <row r="115" ht="14.25" customHeight="1">
      <c r="D115" s="42"/>
      <c r="E115" s="42"/>
      <c r="M115" s="42"/>
      <c r="O115" s="42"/>
    </row>
    <row r="116" ht="14.25" customHeight="1">
      <c r="D116" s="42"/>
      <c r="E116" s="42"/>
      <c r="M116" s="42"/>
      <c r="O116" s="42"/>
    </row>
    <row r="117" ht="14.25" customHeight="1">
      <c r="D117" s="42"/>
      <c r="E117" s="42"/>
      <c r="M117" s="42"/>
      <c r="O117" s="42"/>
    </row>
    <row r="118" ht="14.25" customHeight="1">
      <c r="D118" s="42"/>
      <c r="E118" s="42"/>
      <c r="M118" s="42"/>
      <c r="O118" s="42"/>
    </row>
    <row r="119" ht="14.25" customHeight="1">
      <c r="D119" s="42"/>
      <c r="E119" s="42"/>
      <c r="M119" s="42"/>
      <c r="O119" s="42"/>
    </row>
    <row r="120" ht="14.25" customHeight="1">
      <c r="D120" s="42"/>
      <c r="E120" s="42"/>
      <c r="M120" s="42"/>
      <c r="O120" s="42"/>
    </row>
    <row r="121" ht="14.25" customHeight="1">
      <c r="D121" s="42"/>
      <c r="E121" s="42"/>
      <c r="M121" s="42"/>
      <c r="O121" s="42"/>
    </row>
    <row r="122" ht="14.25" customHeight="1">
      <c r="D122" s="42"/>
      <c r="E122" s="42"/>
      <c r="M122" s="42"/>
      <c r="O122" s="42"/>
    </row>
    <row r="123" ht="14.25" customHeight="1">
      <c r="D123" s="42"/>
      <c r="E123" s="42"/>
      <c r="M123" s="42"/>
      <c r="O123" s="42"/>
    </row>
    <row r="124" ht="14.25" customHeight="1">
      <c r="D124" s="42"/>
      <c r="E124" s="42"/>
      <c r="M124" s="42"/>
      <c r="O124" s="42"/>
    </row>
    <row r="125" ht="14.25" customHeight="1">
      <c r="D125" s="42"/>
      <c r="E125" s="42"/>
      <c r="M125" s="42"/>
      <c r="O125" s="42"/>
    </row>
    <row r="126" ht="14.25" customHeight="1">
      <c r="D126" s="42"/>
      <c r="E126" s="42"/>
      <c r="M126" s="42"/>
      <c r="O126" s="42"/>
    </row>
    <row r="127" ht="14.25" customHeight="1">
      <c r="D127" s="42"/>
      <c r="E127" s="42"/>
      <c r="M127" s="42"/>
      <c r="O127" s="42"/>
    </row>
    <row r="128" ht="14.25" customHeight="1">
      <c r="D128" s="42"/>
      <c r="E128" s="42"/>
      <c r="M128" s="42"/>
      <c r="O128" s="42"/>
    </row>
    <row r="129" ht="14.25" customHeight="1">
      <c r="D129" s="42"/>
      <c r="E129" s="42"/>
      <c r="M129" s="42"/>
      <c r="O129" s="42"/>
    </row>
    <row r="130" ht="14.25" customHeight="1">
      <c r="D130" s="42"/>
      <c r="E130" s="42"/>
      <c r="M130" s="42"/>
      <c r="O130" s="42"/>
    </row>
    <row r="131" ht="14.25" customHeight="1">
      <c r="D131" s="42"/>
      <c r="E131" s="42"/>
      <c r="M131" s="42"/>
      <c r="O131" s="42"/>
    </row>
    <row r="132" ht="14.25" customHeight="1">
      <c r="D132" s="42"/>
      <c r="E132" s="42"/>
      <c r="M132" s="42"/>
      <c r="O132" s="42"/>
    </row>
    <row r="133" ht="14.25" customHeight="1">
      <c r="D133" s="42"/>
      <c r="E133" s="42"/>
      <c r="M133" s="42"/>
      <c r="O133" s="42"/>
    </row>
    <row r="134" ht="14.25" customHeight="1">
      <c r="D134" s="42"/>
      <c r="E134" s="42"/>
      <c r="M134" s="42"/>
      <c r="O134" s="42"/>
    </row>
    <row r="135" ht="14.25" customHeight="1">
      <c r="D135" s="42"/>
      <c r="E135" s="42"/>
      <c r="M135" s="42"/>
      <c r="O135" s="42"/>
    </row>
    <row r="136" ht="14.25" customHeight="1">
      <c r="D136" s="42"/>
      <c r="E136" s="42"/>
      <c r="M136" s="42"/>
      <c r="O136" s="42"/>
    </row>
    <row r="137" ht="14.25" customHeight="1">
      <c r="D137" s="42"/>
      <c r="E137" s="42"/>
      <c r="M137" s="42"/>
      <c r="O137" s="42"/>
    </row>
    <row r="138" ht="14.25" customHeight="1">
      <c r="D138" s="42"/>
      <c r="E138" s="42"/>
      <c r="M138" s="42"/>
      <c r="O138" s="42"/>
    </row>
    <row r="139" ht="14.25" customHeight="1">
      <c r="D139" s="42"/>
      <c r="E139" s="42"/>
      <c r="M139" s="42"/>
      <c r="O139" s="42"/>
    </row>
    <row r="140" ht="14.25" customHeight="1">
      <c r="D140" s="42"/>
      <c r="E140" s="42"/>
      <c r="M140" s="42"/>
      <c r="O140" s="42"/>
    </row>
    <row r="141" ht="14.25" customHeight="1">
      <c r="D141" s="42"/>
      <c r="E141" s="42"/>
      <c r="M141" s="42"/>
      <c r="O141" s="42"/>
    </row>
    <row r="142" ht="14.25" customHeight="1">
      <c r="D142" s="42"/>
      <c r="E142" s="42"/>
      <c r="M142" s="42"/>
      <c r="O142" s="42"/>
    </row>
    <row r="143" ht="14.25" customHeight="1">
      <c r="D143" s="42"/>
      <c r="E143" s="42"/>
      <c r="M143" s="42"/>
      <c r="O143" s="42"/>
    </row>
    <row r="144" ht="14.25" customHeight="1">
      <c r="D144" s="42"/>
      <c r="E144" s="42"/>
      <c r="M144" s="42"/>
      <c r="O144" s="42"/>
    </row>
    <row r="145" ht="14.25" customHeight="1">
      <c r="D145" s="42"/>
      <c r="E145" s="42"/>
      <c r="M145" s="42"/>
      <c r="O145" s="42"/>
    </row>
    <row r="146" ht="14.25" customHeight="1">
      <c r="D146" s="42"/>
      <c r="E146" s="42"/>
      <c r="M146" s="42"/>
      <c r="O146" s="42"/>
    </row>
    <row r="147" ht="14.25" customHeight="1">
      <c r="D147" s="42"/>
      <c r="E147" s="42"/>
      <c r="M147" s="42"/>
      <c r="O147" s="42"/>
    </row>
    <row r="148" ht="14.25" customHeight="1">
      <c r="D148" s="42"/>
      <c r="E148" s="42"/>
      <c r="M148" s="42"/>
      <c r="O148" s="42"/>
    </row>
    <row r="149" ht="14.25" customHeight="1">
      <c r="D149" s="42"/>
      <c r="E149" s="42"/>
      <c r="M149" s="42"/>
      <c r="O149" s="42"/>
    </row>
    <row r="150" ht="14.25" customHeight="1">
      <c r="D150" s="42"/>
      <c r="E150" s="42"/>
      <c r="M150" s="42"/>
      <c r="O150" s="42"/>
    </row>
    <row r="151" ht="14.25" customHeight="1">
      <c r="D151" s="42"/>
      <c r="E151" s="42"/>
      <c r="M151" s="42"/>
      <c r="O151" s="42"/>
    </row>
    <row r="152" ht="14.25" customHeight="1">
      <c r="D152" s="42"/>
      <c r="E152" s="42"/>
      <c r="M152" s="42"/>
      <c r="O152" s="42"/>
    </row>
    <row r="153" ht="14.25" customHeight="1">
      <c r="D153" s="42"/>
      <c r="E153" s="42"/>
      <c r="M153" s="42"/>
      <c r="O153" s="42"/>
    </row>
    <row r="154" ht="14.25" customHeight="1">
      <c r="D154" s="42"/>
      <c r="E154" s="42"/>
      <c r="M154" s="42"/>
      <c r="O154" s="42"/>
    </row>
    <row r="155" ht="14.25" customHeight="1">
      <c r="D155" s="42"/>
      <c r="E155" s="42"/>
      <c r="M155" s="42"/>
      <c r="O155" s="42"/>
    </row>
    <row r="156" ht="14.25" customHeight="1">
      <c r="D156" s="42"/>
      <c r="E156" s="42"/>
      <c r="M156" s="42"/>
      <c r="O156" s="42"/>
    </row>
    <row r="157" ht="14.25" customHeight="1">
      <c r="D157" s="42"/>
      <c r="E157" s="42"/>
      <c r="M157" s="42"/>
      <c r="O157" s="42"/>
    </row>
    <row r="158" ht="14.25" customHeight="1">
      <c r="D158" s="42"/>
      <c r="E158" s="42"/>
      <c r="M158" s="42"/>
      <c r="O158" s="42"/>
    </row>
    <row r="159" ht="14.25" customHeight="1">
      <c r="D159" s="42"/>
      <c r="E159" s="42"/>
      <c r="M159" s="42"/>
      <c r="O159" s="42"/>
    </row>
    <row r="160" ht="14.25" customHeight="1">
      <c r="D160" s="42"/>
      <c r="E160" s="42"/>
      <c r="M160" s="42"/>
      <c r="O160" s="42"/>
    </row>
    <row r="161" ht="14.25" customHeight="1">
      <c r="D161" s="42"/>
      <c r="E161" s="42"/>
      <c r="M161" s="42"/>
      <c r="O161" s="42"/>
    </row>
    <row r="162" ht="14.25" customHeight="1">
      <c r="D162" s="42"/>
      <c r="E162" s="42"/>
      <c r="M162" s="42"/>
      <c r="O162" s="42"/>
    </row>
    <row r="163" ht="14.25" customHeight="1">
      <c r="D163" s="42"/>
      <c r="E163" s="42"/>
      <c r="M163" s="42"/>
      <c r="O163" s="42"/>
    </row>
    <row r="164" ht="14.25" customHeight="1">
      <c r="D164" s="42"/>
      <c r="E164" s="42"/>
      <c r="M164" s="42"/>
      <c r="O164" s="42"/>
    </row>
    <row r="165" ht="14.25" customHeight="1">
      <c r="D165" s="42"/>
      <c r="E165" s="42"/>
      <c r="M165" s="42"/>
      <c r="O165" s="42"/>
    </row>
    <row r="166" ht="14.25" customHeight="1">
      <c r="D166" s="42"/>
      <c r="E166" s="42"/>
      <c r="M166" s="42"/>
      <c r="O166" s="42"/>
    </row>
    <row r="167" ht="14.25" customHeight="1">
      <c r="D167" s="42"/>
      <c r="E167" s="42"/>
      <c r="M167" s="42"/>
      <c r="O167" s="42"/>
    </row>
    <row r="168" ht="14.25" customHeight="1">
      <c r="D168" s="42"/>
      <c r="E168" s="42"/>
      <c r="M168" s="42"/>
      <c r="O168" s="42"/>
    </row>
    <row r="169" ht="14.25" customHeight="1">
      <c r="D169" s="42"/>
      <c r="E169" s="42"/>
      <c r="M169" s="42"/>
      <c r="O169" s="42"/>
    </row>
    <row r="170" ht="14.25" customHeight="1">
      <c r="D170" s="42"/>
      <c r="E170" s="42"/>
      <c r="M170" s="42"/>
      <c r="O170" s="42"/>
    </row>
    <row r="171" ht="14.25" customHeight="1">
      <c r="D171" s="42"/>
      <c r="E171" s="42"/>
      <c r="M171" s="42"/>
      <c r="O171" s="42"/>
    </row>
    <row r="172" ht="14.25" customHeight="1">
      <c r="D172" s="42"/>
      <c r="E172" s="42"/>
      <c r="M172" s="42"/>
      <c r="O172" s="42"/>
    </row>
    <row r="173" ht="14.25" customHeight="1">
      <c r="D173" s="42"/>
      <c r="E173" s="42"/>
      <c r="M173" s="42"/>
      <c r="O173" s="42"/>
    </row>
    <row r="174" ht="14.25" customHeight="1">
      <c r="D174" s="42"/>
      <c r="E174" s="42"/>
      <c r="M174" s="42"/>
      <c r="O174" s="42"/>
    </row>
    <row r="175" ht="14.25" customHeight="1">
      <c r="D175" s="42"/>
      <c r="E175" s="42"/>
      <c r="M175" s="42"/>
      <c r="O175" s="42"/>
    </row>
    <row r="176" ht="14.25" customHeight="1">
      <c r="D176" s="42"/>
      <c r="E176" s="42"/>
      <c r="M176" s="42"/>
      <c r="O176" s="42"/>
    </row>
    <row r="177" ht="14.25" customHeight="1">
      <c r="D177" s="42"/>
      <c r="E177" s="42"/>
      <c r="M177" s="42"/>
      <c r="O177" s="42"/>
    </row>
    <row r="178" ht="14.25" customHeight="1">
      <c r="D178" s="42"/>
      <c r="E178" s="42"/>
      <c r="M178" s="42"/>
      <c r="O178" s="42"/>
    </row>
    <row r="179" ht="14.25" customHeight="1">
      <c r="D179" s="42"/>
      <c r="E179" s="42"/>
      <c r="M179" s="42"/>
      <c r="O179" s="42"/>
    </row>
    <row r="180" ht="14.25" customHeight="1">
      <c r="D180" s="42"/>
      <c r="E180" s="42"/>
      <c r="M180" s="42"/>
      <c r="O180" s="42"/>
    </row>
    <row r="181" ht="14.25" customHeight="1">
      <c r="D181" s="42"/>
      <c r="E181" s="42"/>
      <c r="M181" s="42"/>
      <c r="O181" s="42"/>
    </row>
    <row r="182" ht="14.25" customHeight="1">
      <c r="D182" s="42"/>
      <c r="E182" s="42"/>
      <c r="M182" s="42"/>
      <c r="O182" s="42"/>
    </row>
    <row r="183" ht="14.25" customHeight="1">
      <c r="D183" s="42"/>
      <c r="E183" s="42"/>
      <c r="M183" s="42"/>
      <c r="O183" s="42"/>
    </row>
    <row r="184" ht="14.25" customHeight="1">
      <c r="D184" s="42"/>
      <c r="E184" s="42"/>
      <c r="M184" s="42"/>
      <c r="O184" s="42"/>
    </row>
    <row r="185" ht="14.25" customHeight="1">
      <c r="D185" s="42"/>
      <c r="E185" s="42"/>
      <c r="M185" s="42"/>
      <c r="O185" s="42"/>
    </row>
    <row r="186" ht="14.25" customHeight="1">
      <c r="D186" s="42"/>
      <c r="E186" s="42"/>
      <c r="M186" s="42"/>
      <c r="O186" s="42"/>
    </row>
    <row r="187" ht="14.25" customHeight="1">
      <c r="D187" s="42"/>
      <c r="E187" s="42"/>
      <c r="M187" s="42"/>
      <c r="O187" s="42"/>
    </row>
    <row r="188" ht="14.25" customHeight="1">
      <c r="D188" s="42"/>
      <c r="E188" s="42"/>
      <c r="M188" s="42"/>
      <c r="O188" s="42"/>
    </row>
    <row r="189" ht="14.25" customHeight="1">
      <c r="D189" s="42"/>
      <c r="E189" s="42"/>
      <c r="M189" s="42"/>
      <c r="O189" s="42"/>
    </row>
    <row r="190" ht="14.25" customHeight="1">
      <c r="D190" s="42"/>
      <c r="E190" s="42"/>
      <c r="M190" s="42"/>
      <c r="O190" s="42"/>
    </row>
    <row r="191" ht="14.25" customHeight="1">
      <c r="D191" s="42"/>
      <c r="E191" s="42"/>
      <c r="M191" s="42"/>
      <c r="O191" s="42"/>
    </row>
    <row r="192" ht="14.25" customHeight="1">
      <c r="D192" s="42"/>
      <c r="E192" s="42"/>
      <c r="M192" s="42"/>
      <c r="O192" s="42"/>
    </row>
    <row r="193" ht="14.25" customHeight="1">
      <c r="D193" s="42"/>
      <c r="E193" s="42"/>
      <c r="M193" s="42"/>
      <c r="O193" s="42"/>
    </row>
    <row r="194" ht="14.25" customHeight="1">
      <c r="D194" s="42"/>
      <c r="E194" s="42"/>
      <c r="M194" s="42"/>
      <c r="O194" s="42"/>
    </row>
    <row r="195" ht="14.25" customHeight="1">
      <c r="D195" s="42"/>
      <c r="E195" s="42"/>
      <c r="M195" s="42"/>
      <c r="O195" s="42"/>
    </row>
    <row r="196" ht="14.25" customHeight="1">
      <c r="D196" s="42"/>
      <c r="E196" s="42"/>
      <c r="M196" s="42"/>
      <c r="O196" s="42"/>
    </row>
    <row r="197" ht="14.25" customHeight="1">
      <c r="D197" s="42"/>
      <c r="E197" s="42"/>
      <c r="M197" s="42"/>
      <c r="O197" s="42"/>
    </row>
    <row r="198" ht="14.25" customHeight="1">
      <c r="D198" s="42"/>
      <c r="E198" s="42"/>
      <c r="M198" s="42"/>
      <c r="O198" s="42"/>
    </row>
    <row r="199" ht="14.25" customHeight="1">
      <c r="D199" s="42"/>
      <c r="E199" s="42"/>
      <c r="M199" s="42"/>
      <c r="O199" s="42"/>
    </row>
    <row r="200" ht="14.25" customHeight="1">
      <c r="D200" s="42"/>
      <c r="E200" s="42"/>
      <c r="M200" s="42"/>
      <c r="O200" s="42"/>
    </row>
    <row r="201" ht="14.25" customHeight="1">
      <c r="D201" s="42"/>
      <c r="E201" s="42"/>
      <c r="M201" s="42"/>
      <c r="O201" s="42"/>
    </row>
    <row r="202" ht="14.25" customHeight="1">
      <c r="D202" s="42"/>
      <c r="E202" s="42"/>
      <c r="M202" s="42"/>
      <c r="O202" s="42"/>
    </row>
    <row r="203" ht="14.25" customHeight="1">
      <c r="D203" s="42"/>
      <c r="E203" s="42"/>
      <c r="M203" s="42"/>
      <c r="O203" s="42"/>
    </row>
    <row r="204" ht="14.25" customHeight="1">
      <c r="D204" s="42"/>
      <c r="E204" s="42"/>
      <c r="M204" s="42"/>
      <c r="O204" s="42"/>
    </row>
    <row r="205" ht="14.25" customHeight="1">
      <c r="D205" s="42"/>
      <c r="E205" s="42"/>
      <c r="M205" s="42"/>
      <c r="O205" s="42"/>
    </row>
    <row r="206" ht="14.25" customHeight="1">
      <c r="D206" s="42"/>
      <c r="E206" s="42"/>
      <c r="M206" s="42"/>
      <c r="O206" s="42"/>
    </row>
    <row r="207" ht="14.25" customHeight="1">
      <c r="D207" s="42"/>
      <c r="E207" s="42"/>
      <c r="M207" s="42"/>
      <c r="O207" s="42"/>
    </row>
    <row r="208" ht="14.25" customHeight="1">
      <c r="D208" s="42"/>
      <c r="E208" s="42"/>
      <c r="M208" s="42"/>
      <c r="O208" s="42"/>
    </row>
    <row r="209" ht="14.25" customHeight="1">
      <c r="D209" s="42"/>
      <c r="E209" s="42"/>
      <c r="M209" s="42"/>
      <c r="O209" s="42"/>
    </row>
    <row r="210" ht="14.25" customHeight="1">
      <c r="D210" s="42"/>
      <c r="E210" s="42"/>
      <c r="M210" s="42"/>
      <c r="O210" s="42"/>
    </row>
    <row r="211" ht="14.25" customHeight="1">
      <c r="D211" s="42"/>
      <c r="E211" s="42"/>
      <c r="M211" s="42"/>
      <c r="O211" s="42"/>
    </row>
    <row r="212" ht="14.25" customHeight="1">
      <c r="D212" s="42"/>
      <c r="E212" s="42"/>
      <c r="M212" s="42"/>
      <c r="O212" s="42"/>
    </row>
    <row r="213" ht="14.25" customHeight="1">
      <c r="D213" s="42"/>
      <c r="E213" s="42"/>
      <c r="M213" s="42"/>
      <c r="O213" s="42"/>
    </row>
    <row r="214" ht="14.25" customHeight="1">
      <c r="D214" s="42"/>
      <c r="E214" s="42"/>
      <c r="M214" s="42"/>
      <c r="O214" s="42"/>
    </row>
    <row r="215" ht="14.25" customHeight="1">
      <c r="D215" s="42"/>
      <c r="E215" s="42"/>
      <c r="M215" s="42"/>
      <c r="O215" s="42"/>
    </row>
    <row r="216" ht="14.25" customHeight="1">
      <c r="D216" s="42"/>
      <c r="E216" s="42"/>
      <c r="M216" s="42"/>
      <c r="O216" s="42"/>
    </row>
    <row r="217" ht="14.25" customHeight="1">
      <c r="D217" s="42"/>
      <c r="E217" s="42"/>
      <c r="M217" s="42"/>
      <c r="O217" s="42"/>
    </row>
    <row r="218" ht="14.25" customHeight="1">
      <c r="D218" s="42"/>
      <c r="E218" s="42"/>
      <c r="M218" s="42"/>
      <c r="O218" s="42"/>
    </row>
    <row r="219" ht="14.25" customHeight="1">
      <c r="D219" s="42"/>
      <c r="E219" s="42"/>
      <c r="M219" s="42"/>
      <c r="O219" s="42"/>
    </row>
    <row r="220" ht="14.25" customHeight="1">
      <c r="D220" s="42"/>
      <c r="E220" s="42"/>
      <c r="M220" s="42"/>
      <c r="O220" s="42"/>
    </row>
    <row r="221" ht="14.25" customHeight="1">
      <c r="D221" s="42"/>
      <c r="E221" s="42"/>
      <c r="M221" s="42"/>
      <c r="O221" s="42"/>
    </row>
    <row r="222" ht="14.25" customHeight="1">
      <c r="D222" s="42"/>
      <c r="E222" s="42"/>
      <c r="M222" s="42"/>
      <c r="O222" s="42"/>
    </row>
    <row r="223" ht="14.25" customHeight="1">
      <c r="D223" s="42"/>
      <c r="E223" s="42"/>
      <c r="M223" s="42"/>
      <c r="O223" s="42"/>
    </row>
    <row r="224" ht="14.25" customHeight="1">
      <c r="D224" s="42"/>
      <c r="E224" s="42"/>
      <c r="M224" s="42"/>
      <c r="O224" s="42"/>
    </row>
    <row r="225" ht="14.25" customHeight="1">
      <c r="D225" s="42"/>
      <c r="E225" s="42"/>
      <c r="M225" s="42"/>
      <c r="O225" s="42"/>
    </row>
    <row r="226" ht="14.25" customHeight="1">
      <c r="D226" s="42"/>
      <c r="E226" s="42"/>
      <c r="M226" s="42"/>
      <c r="O226" s="42"/>
    </row>
    <row r="227" ht="14.25" customHeight="1">
      <c r="D227" s="42"/>
      <c r="E227" s="42"/>
      <c r="M227" s="42"/>
      <c r="O227" s="42"/>
    </row>
    <row r="228" ht="14.25" customHeight="1">
      <c r="D228" s="42"/>
      <c r="E228" s="42"/>
      <c r="M228" s="42"/>
      <c r="O228" s="42"/>
    </row>
    <row r="229" ht="14.25" customHeight="1">
      <c r="D229" s="42"/>
      <c r="E229" s="42"/>
      <c r="M229" s="42"/>
      <c r="O229" s="42"/>
    </row>
    <row r="230" ht="14.25" customHeight="1">
      <c r="D230" s="42"/>
      <c r="E230" s="42"/>
      <c r="M230" s="42"/>
      <c r="O230" s="42"/>
    </row>
    <row r="231" ht="14.25" customHeight="1">
      <c r="D231" s="42"/>
      <c r="E231" s="42"/>
      <c r="M231" s="42"/>
      <c r="O231" s="42"/>
    </row>
    <row r="232" ht="14.25" customHeight="1">
      <c r="D232" s="42"/>
      <c r="E232" s="42"/>
      <c r="M232" s="42"/>
      <c r="O232" s="42"/>
    </row>
    <row r="233" ht="14.25" customHeight="1">
      <c r="D233" s="42"/>
      <c r="E233" s="42"/>
      <c r="M233" s="42"/>
      <c r="O233" s="42"/>
    </row>
    <row r="234" ht="14.25" customHeight="1">
      <c r="D234" s="42"/>
      <c r="E234" s="42"/>
      <c r="M234" s="42"/>
      <c r="O234" s="42"/>
    </row>
    <row r="235" ht="14.25" customHeight="1">
      <c r="D235" s="42"/>
      <c r="E235" s="42"/>
      <c r="M235" s="42"/>
      <c r="O235" s="42"/>
    </row>
    <row r="236" ht="14.25" customHeight="1">
      <c r="D236" s="42"/>
      <c r="E236" s="42"/>
      <c r="M236" s="42"/>
      <c r="O236" s="42"/>
    </row>
    <row r="237" ht="14.25" customHeight="1">
      <c r="D237" s="42"/>
      <c r="E237" s="42"/>
      <c r="M237" s="42"/>
      <c r="O237" s="42"/>
    </row>
    <row r="238" ht="14.25" customHeight="1">
      <c r="D238" s="42"/>
      <c r="E238" s="42"/>
      <c r="M238" s="42"/>
      <c r="O238" s="42"/>
    </row>
    <row r="239" ht="14.25" customHeight="1">
      <c r="D239" s="42"/>
      <c r="E239" s="42"/>
      <c r="M239" s="42"/>
      <c r="O239" s="42"/>
    </row>
    <row r="240" ht="14.25" customHeight="1">
      <c r="D240" s="42"/>
      <c r="E240" s="42"/>
      <c r="M240" s="42"/>
      <c r="O240" s="42"/>
    </row>
    <row r="241" ht="14.25" customHeight="1">
      <c r="D241" s="42"/>
      <c r="E241" s="42"/>
      <c r="M241" s="42"/>
      <c r="O241" s="42"/>
    </row>
    <row r="242" ht="14.25" customHeight="1">
      <c r="D242" s="42"/>
      <c r="E242" s="42"/>
      <c r="M242" s="42"/>
      <c r="O242" s="42"/>
    </row>
    <row r="243" ht="14.25" customHeight="1">
      <c r="D243" s="42"/>
      <c r="E243" s="42"/>
      <c r="M243" s="42"/>
      <c r="O243" s="42"/>
    </row>
    <row r="244" ht="14.25" customHeight="1">
      <c r="D244" s="42"/>
      <c r="E244" s="42"/>
      <c r="M244" s="42"/>
      <c r="O244" s="42"/>
    </row>
    <row r="245" ht="14.25" customHeight="1">
      <c r="D245" s="42"/>
      <c r="E245" s="42"/>
      <c r="M245" s="42"/>
      <c r="O245" s="42"/>
    </row>
    <row r="246" ht="14.25" customHeight="1">
      <c r="D246" s="42"/>
      <c r="E246" s="42"/>
      <c r="M246" s="42"/>
      <c r="O246" s="42"/>
    </row>
    <row r="247" ht="14.25" customHeight="1">
      <c r="D247" s="42"/>
      <c r="E247" s="42"/>
      <c r="M247" s="42"/>
      <c r="O247" s="42"/>
    </row>
    <row r="248" ht="14.25" customHeight="1">
      <c r="D248" s="42"/>
      <c r="E248" s="42"/>
      <c r="M248" s="42"/>
      <c r="O248" s="42"/>
    </row>
    <row r="249" ht="14.25" customHeight="1">
      <c r="D249" s="42"/>
      <c r="E249" s="42"/>
      <c r="M249" s="42"/>
      <c r="O249" s="42"/>
    </row>
    <row r="250" ht="14.25" customHeight="1">
      <c r="D250" s="42"/>
      <c r="E250" s="42"/>
      <c r="M250" s="42"/>
      <c r="O250" s="42"/>
    </row>
    <row r="251" ht="14.25" customHeight="1">
      <c r="D251" s="42"/>
      <c r="E251" s="42"/>
      <c r="M251" s="42"/>
      <c r="O251" s="42"/>
    </row>
    <row r="252" ht="14.25" customHeight="1">
      <c r="D252" s="42"/>
      <c r="E252" s="42"/>
      <c r="M252" s="42"/>
      <c r="O252" s="42"/>
    </row>
    <row r="253" ht="14.25" customHeight="1">
      <c r="D253" s="42"/>
      <c r="E253" s="42"/>
      <c r="M253" s="42"/>
      <c r="O253" s="42"/>
    </row>
    <row r="254" ht="14.25" customHeight="1">
      <c r="D254" s="42"/>
      <c r="E254" s="42"/>
      <c r="M254" s="42"/>
      <c r="O254" s="42"/>
    </row>
    <row r="255" ht="14.25" customHeight="1">
      <c r="D255" s="42"/>
      <c r="E255" s="42"/>
      <c r="M255" s="42"/>
      <c r="O255" s="42"/>
    </row>
    <row r="256" ht="14.25" customHeight="1">
      <c r="D256" s="42"/>
      <c r="E256" s="42"/>
      <c r="M256" s="42"/>
      <c r="O256" s="42"/>
    </row>
    <row r="257" ht="14.25" customHeight="1">
      <c r="D257" s="42"/>
      <c r="E257" s="42"/>
      <c r="M257" s="42"/>
      <c r="O257" s="42"/>
    </row>
    <row r="258" ht="14.25" customHeight="1">
      <c r="D258" s="42"/>
      <c r="E258" s="42"/>
      <c r="M258" s="42"/>
      <c r="O258" s="42"/>
    </row>
    <row r="259" ht="14.25" customHeight="1">
      <c r="D259" s="42"/>
      <c r="E259" s="42"/>
      <c r="M259" s="42"/>
      <c r="O259" s="42"/>
    </row>
    <row r="260" ht="14.25" customHeight="1">
      <c r="D260" s="42"/>
      <c r="E260" s="42"/>
      <c r="M260" s="42"/>
      <c r="O260" s="42"/>
    </row>
    <row r="261" ht="14.25" customHeight="1">
      <c r="D261" s="42"/>
      <c r="E261" s="42"/>
      <c r="M261" s="42"/>
      <c r="O261" s="42"/>
    </row>
    <row r="262" ht="14.25" customHeight="1">
      <c r="D262" s="42"/>
      <c r="E262" s="42"/>
      <c r="M262" s="42"/>
      <c r="O262" s="42"/>
    </row>
    <row r="263" ht="14.25" customHeight="1">
      <c r="D263" s="42"/>
      <c r="E263" s="42"/>
      <c r="M263" s="42"/>
      <c r="O263" s="42"/>
    </row>
    <row r="264" ht="14.25" customHeight="1">
      <c r="D264" s="42"/>
      <c r="E264" s="42"/>
      <c r="M264" s="42"/>
      <c r="O264" s="42"/>
    </row>
    <row r="265" ht="14.25" customHeight="1">
      <c r="D265" s="42"/>
      <c r="E265" s="42"/>
      <c r="M265" s="42"/>
      <c r="O265" s="42"/>
    </row>
    <row r="266" ht="14.25" customHeight="1">
      <c r="D266" s="42"/>
      <c r="E266" s="42"/>
      <c r="M266" s="42"/>
      <c r="O266" s="42"/>
    </row>
    <row r="267" ht="14.25" customHeight="1">
      <c r="D267" s="42"/>
      <c r="E267" s="42"/>
      <c r="M267" s="42"/>
      <c r="O267" s="42"/>
    </row>
    <row r="268" ht="14.25" customHeight="1">
      <c r="D268" s="42"/>
      <c r="E268" s="42"/>
      <c r="M268" s="42"/>
      <c r="O268" s="42"/>
    </row>
    <row r="269" ht="14.25" customHeight="1">
      <c r="D269" s="42"/>
      <c r="E269" s="42"/>
      <c r="M269" s="42"/>
      <c r="O269" s="42"/>
    </row>
    <row r="270" ht="14.25" customHeight="1">
      <c r="D270" s="42"/>
      <c r="E270" s="42"/>
      <c r="M270" s="42"/>
      <c r="O270" s="42"/>
    </row>
    <row r="271" ht="14.25" customHeight="1">
      <c r="D271" s="42"/>
      <c r="E271" s="42"/>
      <c r="M271" s="42"/>
      <c r="O271" s="42"/>
    </row>
    <row r="272" ht="14.25" customHeight="1">
      <c r="D272" s="42"/>
      <c r="E272" s="42"/>
      <c r="M272" s="42"/>
      <c r="O272" s="42"/>
    </row>
    <row r="273" ht="14.25" customHeight="1">
      <c r="D273" s="42"/>
      <c r="E273" s="42"/>
      <c r="M273" s="42"/>
      <c r="O273" s="42"/>
    </row>
    <row r="274" ht="14.25" customHeight="1">
      <c r="D274" s="42"/>
      <c r="E274" s="42"/>
      <c r="M274" s="42"/>
      <c r="O274" s="42"/>
    </row>
    <row r="275" ht="14.25" customHeight="1">
      <c r="D275" s="42"/>
      <c r="E275" s="42"/>
      <c r="M275" s="42"/>
      <c r="O275" s="42"/>
    </row>
    <row r="276" ht="14.25" customHeight="1">
      <c r="D276" s="42"/>
      <c r="E276" s="42"/>
      <c r="M276" s="42"/>
      <c r="O276" s="42"/>
    </row>
    <row r="277" ht="14.25" customHeight="1">
      <c r="D277" s="42"/>
      <c r="E277" s="42"/>
      <c r="M277" s="42"/>
      <c r="O277" s="42"/>
    </row>
    <row r="278" ht="14.25" customHeight="1">
      <c r="D278" s="42"/>
      <c r="E278" s="42"/>
      <c r="M278" s="42"/>
      <c r="O278" s="42"/>
    </row>
    <row r="279" ht="14.25" customHeight="1">
      <c r="D279" s="42"/>
      <c r="E279" s="42"/>
      <c r="M279" s="42"/>
      <c r="O279" s="42"/>
    </row>
    <row r="280" ht="14.25" customHeight="1">
      <c r="D280" s="42"/>
      <c r="E280" s="42"/>
      <c r="M280" s="42"/>
      <c r="O280" s="42"/>
    </row>
    <row r="281" ht="14.25" customHeight="1">
      <c r="D281" s="42"/>
      <c r="E281" s="42"/>
      <c r="M281" s="42"/>
      <c r="O281" s="42"/>
    </row>
    <row r="282" ht="14.25" customHeight="1">
      <c r="D282" s="42"/>
      <c r="E282" s="42"/>
      <c r="M282" s="42"/>
      <c r="O282" s="42"/>
    </row>
    <row r="283" ht="14.25" customHeight="1">
      <c r="D283" s="42"/>
      <c r="E283" s="42"/>
      <c r="M283" s="42"/>
      <c r="O283" s="42"/>
    </row>
    <row r="284" ht="14.25" customHeight="1">
      <c r="D284" s="42"/>
      <c r="E284" s="42"/>
      <c r="M284" s="42"/>
      <c r="O284" s="42"/>
    </row>
    <row r="285" ht="14.25" customHeight="1">
      <c r="D285" s="42"/>
      <c r="E285" s="42"/>
      <c r="M285" s="42"/>
      <c r="O285" s="42"/>
    </row>
    <row r="286" ht="14.25" customHeight="1">
      <c r="D286" s="42"/>
      <c r="E286" s="42"/>
      <c r="M286" s="42"/>
      <c r="O286" s="42"/>
    </row>
    <row r="287" ht="14.25" customHeight="1">
      <c r="D287" s="42"/>
      <c r="E287" s="42"/>
      <c r="M287" s="42"/>
      <c r="O287" s="42"/>
    </row>
    <row r="288" ht="14.25" customHeight="1">
      <c r="D288" s="42"/>
      <c r="E288" s="42"/>
      <c r="M288" s="42"/>
      <c r="O288" s="42"/>
    </row>
    <row r="289" ht="14.25" customHeight="1">
      <c r="D289" s="42"/>
      <c r="E289" s="42"/>
      <c r="M289" s="42"/>
      <c r="O289" s="42"/>
    </row>
    <row r="290" ht="14.25" customHeight="1">
      <c r="D290" s="42"/>
      <c r="E290" s="42"/>
      <c r="M290" s="42"/>
      <c r="O290" s="42"/>
    </row>
    <row r="291" ht="14.25" customHeight="1">
      <c r="D291" s="42"/>
      <c r="E291" s="42"/>
      <c r="M291" s="42"/>
      <c r="O291" s="42"/>
    </row>
    <row r="292" ht="14.25" customHeight="1">
      <c r="D292" s="42"/>
      <c r="E292" s="42"/>
      <c r="M292" s="42"/>
      <c r="O292" s="42"/>
    </row>
    <row r="293" ht="14.25" customHeight="1">
      <c r="D293" s="42"/>
      <c r="E293" s="42"/>
      <c r="M293" s="42"/>
      <c r="O293" s="42"/>
    </row>
    <row r="294" ht="14.25" customHeight="1">
      <c r="D294" s="42"/>
      <c r="E294" s="42"/>
      <c r="M294" s="42"/>
      <c r="O294" s="42"/>
    </row>
    <row r="295" ht="14.25" customHeight="1">
      <c r="D295" s="42"/>
      <c r="E295" s="42"/>
      <c r="M295" s="42"/>
      <c r="O295" s="42"/>
    </row>
    <row r="296" ht="14.25" customHeight="1">
      <c r="D296" s="42"/>
      <c r="E296" s="42"/>
      <c r="M296" s="42"/>
      <c r="O296" s="42"/>
    </row>
    <row r="297" ht="14.25" customHeight="1">
      <c r="D297" s="42"/>
      <c r="E297" s="42"/>
      <c r="M297" s="42"/>
      <c r="O297" s="42"/>
    </row>
    <row r="298" ht="14.25" customHeight="1">
      <c r="D298" s="42"/>
      <c r="E298" s="42"/>
      <c r="M298" s="42"/>
      <c r="O298" s="42"/>
    </row>
    <row r="299" ht="14.25" customHeight="1">
      <c r="D299" s="42"/>
      <c r="E299" s="42"/>
      <c r="M299" s="42"/>
      <c r="O299" s="42"/>
    </row>
    <row r="300" ht="14.25" customHeight="1">
      <c r="D300" s="42"/>
      <c r="E300" s="42"/>
      <c r="M300" s="42"/>
      <c r="O300" s="42"/>
    </row>
    <row r="301" ht="14.25" customHeight="1">
      <c r="D301" s="42"/>
      <c r="E301" s="42"/>
      <c r="M301" s="42"/>
      <c r="O301" s="42"/>
    </row>
    <row r="302" ht="14.25" customHeight="1">
      <c r="D302" s="42"/>
      <c r="E302" s="42"/>
      <c r="M302" s="42"/>
      <c r="O302" s="42"/>
    </row>
    <row r="303" ht="14.25" customHeight="1">
      <c r="D303" s="42"/>
      <c r="E303" s="42"/>
      <c r="M303" s="42"/>
      <c r="O303" s="42"/>
    </row>
    <row r="304" ht="14.25" customHeight="1">
      <c r="D304" s="42"/>
      <c r="E304" s="42"/>
      <c r="M304" s="42"/>
      <c r="O304" s="42"/>
    </row>
    <row r="305" ht="14.25" customHeight="1">
      <c r="D305" s="42"/>
      <c r="E305" s="42"/>
      <c r="M305" s="42"/>
      <c r="O305" s="42"/>
    </row>
    <row r="306" ht="14.25" customHeight="1">
      <c r="D306" s="42"/>
      <c r="E306" s="42"/>
      <c r="M306" s="42"/>
      <c r="O306" s="42"/>
    </row>
    <row r="307" ht="14.25" customHeight="1">
      <c r="D307" s="42"/>
      <c r="E307" s="42"/>
      <c r="M307" s="42"/>
      <c r="O307" s="42"/>
    </row>
    <row r="308" ht="14.25" customHeight="1">
      <c r="D308" s="42"/>
      <c r="E308" s="42"/>
      <c r="M308" s="42"/>
      <c r="O308" s="42"/>
    </row>
    <row r="309" ht="14.25" customHeight="1">
      <c r="D309" s="42"/>
      <c r="E309" s="42"/>
      <c r="M309" s="42"/>
      <c r="O309" s="42"/>
    </row>
    <row r="310" ht="14.25" customHeight="1">
      <c r="D310" s="42"/>
      <c r="E310" s="42"/>
      <c r="M310" s="42"/>
      <c r="O310" s="42"/>
    </row>
    <row r="311" ht="14.25" customHeight="1">
      <c r="D311" s="42"/>
      <c r="E311" s="42"/>
      <c r="M311" s="42"/>
      <c r="O311" s="42"/>
    </row>
    <row r="312" ht="14.25" customHeight="1">
      <c r="D312" s="42"/>
      <c r="E312" s="42"/>
      <c r="M312" s="42"/>
      <c r="O312" s="42"/>
    </row>
    <row r="313" ht="14.25" customHeight="1">
      <c r="D313" s="42"/>
      <c r="E313" s="42"/>
      <c r="M313" s="42"/>
      <c r="O313" s="42"/>
    </row>
    <row r="314" ht="14.25" customHeight="1">
      <c r="D314" s="42"/>
      <c r="E314" s="42"/>
      <c r="M314" s="42"/>
      <c r="O314" s="42"/>
    </row>
    <row r="315" ht="14.25" customHeight="1">
      <c r="D315" s="42"/>
      <c r="E315" s="42"/>
      <c r="M315" s="42"/>
      <c r="O315" s="42"/>
    </row>
    <row r="316" ht="14.25" customHeight="1">
      <c r="D316" s="42"/>
      <c r="E316" s="42"/>
      <c r="M316" s="42"/>
      <c r="O316" s="42"/>
    </row>
    <row r="317" ht="14.25" customHeight="1">
      <c r="D317" s="42"/>
      <c r="E317" s="42"/>
      <c r="M317" s="42"/>
      <c r="O317" s="42"/>
    </row>
    <row r="318" ht="14.25" customHeight="1">
      <c r="D318" s="42"/>
      <c r="E318" s="42"/>
      <c r="M318" s="42"/>
      <c r="O318" s="42"/>
    </row>
    <row r="319" ht="14.25" customHeight="1">
      <c r="D319" s="42"/>
      <c r="E319" s="42"/>
      <c r="M319" s="42"/>
      <c r="O319" s="42"/>
    </row>
    <row r="320" ht="14.25" customHeight="1">
      <c r="D320" s="42"/>
      <c r="E320" s="42"/>
      <c r="M320" s="42"/>
      <c r="O320" s="42"/>
    </row>
    <row r="321" ht="14.25" customHeight="1">
      <c r="D321" s="42"/>
      <c r="E321" s="42"/>
      <c r="M321" s="42"/>
      <c r="O321" s="42"/>
    </row>
    <row r="322" ht="14.25" customHeight="1">
      <c r="D322" s="42"/>
      <c r="E322" s="42"/>
      <c r="M322" s="42"/>
      <c r="O322" s="42"/>
    </row>
    <row r="323" ht="14.25" customHeight="1">
      <c r="D323" s="42"/>
      <c r="E323" s="42"/>
      <c r="M323" s="42"/>
      <c r="O323" s="42"/>
    </row>
    <row r="324" ht="14.25" customHeight="1">
      <c r="D324" s="42"/>
      <c r="E324" s="42"/>
      <c r="M324" s="42"/>
      <c r="O324" s="42"/>
    </row>
    <row r="325" ht="14.25" customHeight="1">
      <c r="D325" s="42"/>
      <c r="E325" s="42"/>
      <c r="M325" s="42"/>
      <c r="O325" s="42"/>
    </row>
    <row r="326" ht="14.25" customHeight="1">
      <c r="D326" s="42"/>
      <c r="E326" s="42"/>
      <c r="M326" s="42"/>
      <c r="O326" s="42"/>
    </row>
    <row r="327" ht="14.25" customHeight="1">
      <c r="D327" s="42"/>
      <c r="E327" s="42"/>
      <c r="M327" s="42"/>
      <c r="O327" s="42"/>
    </row>
    <row r="328" ht="14.25" customHeight="1">
      <c r="D328" s="42"/>
      <c r="E328" s="42"/>
      <c r="M328" s="42"/>
      <c r="O328" s="42"/>
    </row>
    <row r="329" ht="14.25" customHeight="1">
      <c r="D329" s="42"/>
      <c r="E329" s="42"/>
      <c r="M329" s="42"/>
      <c r="O329" s="42"/>
    </row>
    <row r="330" ht="14.25" customHeight="1">
      <c r="D330" s="42"/>
      <c r="E330" s="42"/>
      <c r="M330" s="42"/>
      <c r="O330" s="42"/>
    </row>
    <row r="331" ht="14.25" customHeight="1">
      <c r="D331" s="42"/>
      <c r="E331" s="42"/>
      <c r="M331" s="42"/>
      <c r="O331" s="42"/>
    </row>
    <row r="332" ht="14.25" customHeight="1">
      <c r="D332" s="42"/>
      <c r="E332" s="42"/>
      <c r="M332" s="42"/>
      <c r="O332" s="42"/>
    </row>
    <row r="333" ht="14.25" customHeight="1">
      <c r="D333" s="42"/>
      <c r="E333" s="42"/>
      <c r="M333" s="42"/>
      <c r="O333" s="42"/>
    </row>
    <row r="334" ht="14.25" customHeight="1">
      <c r="D334" s="42"/>
      <c r="E334" s="42"/>
      <c r="M334" s="42"/>
      <c r="O334" s="42"/>
    </row>
    <row r="335" ht="14.25" customHeight="1">
      <c r="D335" s="42"/>
      <c r="E335" s="42"/>
      <c r="M335" s="42"/>
      <c r="O335" s="42"/>
    </row>
    <row r="336" ht="14.25" customHeight="1">
      <c r="D336" s="42"/>
      <c r="E336" s="42"/>
      <c r="M336" s="42"/>
      <c r="O336" s="42"/>
    </row>
    <row r="337" ht="14.25" customHeight="1">
      <c r="D337" s="42"/>
      <c r="E337" s="42"/>
      <c r="M337" s="42"/>
      <c r="O337" s="42"/>
    </row>
    <row r="338" ht="14.25" customHeight="1">
      <c r="D338" s="42"/>
      <c r="E338" s="42"/>
      <c r="M338" s="42"/>
      <c r="O338" s="42"/>
    </row>
    <row r="339" ht="14.25" customHeight="1">
      <c r="D339" s="42"/>
      <c r="E339" s="42"/>
      <c r="M339" s="42"/>
      <c r="O339" s="42"/>
    </row>
    <row r="340" ht="14.25" customHeight="1">
      <c r="D340" s="42"/>
      <c r="E340" s="42"/>
      <c r="M340" s="42"/>
      <c r="O340" s="42"/>
    </row>
    <row r="341" ht="14.25" customHeight="1">
      <c r="D341" s="42"/>
      <c r="E341" s="42"/>
      <c r="M341" s="42"/>
      <c r="O341" s="42"/>
    </row>
    <row r="342" ht="14.25" customHeight="1">
      <c r="D342" s="42"/>
      <c r="E342" s="42"/>
      <c r="M342" s="42"/>
      <c r="O342" s="42"/>
    </row>
    <row r="343" ht="14.25" customHeight="1">
      <c r="D343" s="42"/>
      <c r="E343" s="42"/>
      <c r="M343" s="42"/>
      <c r="O343" s="42"/>
    </row>
    <row r="344" ht="14.25" customHeight="1">
      <c r="D344" s="42"/>
      <c r="E344" s="42"/>
      <c r="M344" s="42"/>
      <c r="O344" s="42"/>
    </row>
    <row r="345" ht="14.25" customHeight="1">
      <c r="D345" s="42"/>
      <c r="E345" s="42"/>
      <c r="M345" s="42"/>
      <c r="O345" s="42"/>
    </row>
    <row r="346" ht="14.25" customHeight="1">
      <c r="D346" s="42"/>
      <c r="E346" s="42"/>
      <c r="M346" s="42"/>
      <c r="O346" s="42"/>
    </row>
    <row r="347" ht="14.25" customHeight="1">
      <c r="D347" s="42"/>
      <c r="E347" s="42"/>
      <c r="M347" s="42"/>
      <c r="O347" s="42"/>
    </row>
    <row r="348" ht="14.25" customHeight="1">
      <c r="D348" s="42"/>
      <c r="E348" s="42"/>
      <c r="M348" s="42"/>
      <c r="O348" s="42"/>
    </row>
    <row r="349" ht="14.25" customHeight="1">
      <c r="D349" s="42"/>
      <c r="E349" s="42"/>
      <c r="M349" s="42"/>
      <c r="O349" s="42"/>
    </row>
    <row r="350" ht="14.25" customHeight="1">
      <c r="D350" s="42"/>
      <c r="E350" s="42"/>
      <c r="M350" s="42"/>
      <c r="O350" s="42"/>
    </row>
    <row r="351" ht="14.25" customHeight="1">
      <c r="D351" s="42"/>
      <c r="E351" s="42"/>
      <c r="M351" s="42"/>
      <c r="O351" s="42"/>
    </row>
    <row r="352" ht="14.25" customHeight="1">
      <c r="D352" s="42"/>
      <c r="E352" s="42"/>
      <c r="M352" s="42"/>
      <c r="O352" s="42"/>
    </row>
    <row r="353" ht="14.25" customHeight="1">
      <c r="D353" s="42"/>
      <c r="E353" s="42"/>
      <c r="M353" s="42"/>
      <c r="O353" s="42"/>
    </row>
    <row r="354" ht="14.25" customHeight="1">
      <c r="D354" s="42"/>
      <c r="E354" s="42"/>
      <c r="M354" s="42"/>
      <c r="O354" s="42"/>
    </row>
    <row r="355" ht="14.25" customHeight="1">
      <c r="D355" s="42"/>
      <c r="E355" s="42"/>
      <c r="M355" s="42"/>
      <c r="O355" s="42"/>
    </row>
    <row r="356" ht="14.25" customHeight="1">
      <c r="D356" s="42"/>
      <c r="E356" s="42"/>
      <c r="M356" s="42"/>
      <c r="O356" s="42"/>
    </row>
    <row r="357" ht="14.25" customHeight="1">
      <c r="D357" s="42"/>
      <c r="E357" s="42"/>
      <c r="M357" s="42"/>
      <c r="O357" s="42"/>
    </row>
    <row r="358" ht="14.25" customHeight="1">
      <c r="D358" s="42"/>
      <c r="E358" s="42"/>
      <c r="M358" s="42"/>
      <c r="O358" s="42"/>
    </row>
    <row r="359" ht="14.25" customHeight="1">
      <c r="D359" s="42"/>
      <c r="E359" s="42"/>
      <c r="M359" s="42"/>
      <c r="O359" s="42"/>
    </row>
    <row r="360" ht="14.25" customHeight="1">
      <c r="D360" s="42"/>
      <c r="E360" s="42"/>
      <c r="M360" s="42"/>
      <c r="O360" s="42"/>
    </row>
    <row r="361" ht="14.25" customHeight="1">
      <c r="D361" s="42"/>
      <c r="E361" s="42"/>
      <c r="M361" s="42"/>
      <c r="O361" s="42"/>
    </row>
    <row r="362" ht="14.25" customHeight="1">
      <c r="D362" s="42"/>
      <c r="E362" s="42"/>
      <c r="M362" s="42"/>
      <c r="O362" s="42"/>
    </row>
    <row r="363" ht="14.25" customHeight="1">
      <c r="D363" s="42"/>
      <c r="E363" s="42"/>
      <c r="M363" s="42"/>
      <c r="O363" s="42"/>
    </row>
    <row r="364" ht="14.25" customHeight="1">
      <c r="D364" s="42"/>
      <c r="E364" s="42"/>
      <c r="M364" s="42"/>
      <c r="O364" s="42"/>
    </row>
    <row r="365" ht="14.25" customHeight="1">
      <c r="D365" s="42"/>
      <c r="E365" s="42"/>
      <c r="M365" s="42"/>
      <c r="O365" s="42"/>
    </row>
    <row r="366" ht="14.25" customHeight="1">
      <c r="D366" s="42"/>
      <c r="E366" s="42"/>
      <c r="M366" s="42"/>
      <c r="O366" s="42"/>
    </row>
    <row r="367" ht="14.25" customHeight="1">
      <c r="D367" s="42"/>
      <c r="E367" s="42"/>
      <c r="M367" s="42"/>
      <c r="O367" s="42"/>
    </row>
    <row r="368" ht="14.25" customHeight="1">
      <c r="D368" s="42"/>
      <c r="E368" s="42"/>
      <c r="M368" s="42"/>
      <c r="O368" s="42"/>
    </row>
    <row r="369" ht="14.25" customHeight="1">
      <c r="D369" s="42"/>
      <c r="E369" s="42"/>
      <c r="M369" s="42"/>
      <c r="O369" s="42"/>
    </row>
    <row r="370" ht="14.25" customHeight="1">
      <c r="D370" s="42"/>
      <c r="E370" s="42"/>
      <c r="M370" s="42"/>
      <c r="O370" s="42"/>
    </row>
    <row r="371" ht="14.25" customHeight="1">
      <c r="D371" s="42"/>
      <c r="E371" s="42"/>
      <c r="M371" s="42"/>
      <c r="O371" s="42"/>
    </row>
    <row r="372" ht="14.25" customHeight="1">
      <c r="D372" s="42"/>
      <c r="E372" s="42"/>
      <c r="M372" s="42"/>
      <c r="O372" s="42"/>
    </row>
    <row r="373" ht="14.25" customHeight="1">
      <c r="D373" s="42"/>
      <c r="E373" s="42"/>
      <c r="M373" s="42"/>
      <c r="O373" s="42"/>
    </row>
    <row r="374" ht="14.25" customHeight="1">
      <c r="D374" s="42"/>
      <c r="E374" s="42"/>
      <c r="M374" s="42"/>
      <c r="O374" s="42"/>
    </row>
    <row r="375" ht="14.25" customHeight="1">
      <c r="D375" s="42"/>
      <c r="E375" s="42"/>
      <c r="M375" s="42"/>
      <c r="O375" s="42"/>
    </row>
    <row r="376" ht="14.25" customHeight="1">
      <c r="D376" s="42"/>
      <c r="E376" s="42"/>
      <c r="M376" s="42"/>
      <c r="O376" s="42"/>
    </row>
    <row r="377" ht="14.25" customHeight="1">
      <c r="D377" s="42"/>
      <c r="E377" s="42"/>
      <c r="M377" s="42"/>
      <c r="O377" s="42"/>
    </row>
    <row r="378" ht="14.25" customHeight="1">
      <c r="D378" s="42"/>
      <c r="E378" s="42"/>
      <c r="M378" s="42"/>
      <c r="O378" s="42"/>
    </row>
    <row r="379" ht="14.25" customHeight="1">
      <c r="D379" s="42"/>
      <c r="E379" s="42"/>
      <c r="M379" s="42"/>
      <c r="O379" s="42"/>
    </row>
    <row r="380" ht="14.25" customHeight="1">
      <c r="D380" s="42"/>
      <c r="E380" s="42"/>
      <c r="M380" s="42"/>
      <c r="O380" s="42"/>
    </row>
    <row r="381" ht="14.25" customHeight="1">
      <c r="D381" s="42"/>
      <c r="E381" s="42"/>
      <c r="M381" s="42"/>
      <c r="O381" s="42"/>
    </row>
    <row r="382" ht="14.25" customHeight="1">
      <c r="D382" s="42"/>
      <c r="E382" s="42"/>
      <c r="M382" s="42"/>
      <c r="O382" s="42"/>
    </row>
    <row r="383" ht="14.25" customHeight="1">
      <c r="D383" s="42"/>
      <c r="E383" s="42"/>
      <c r="M383" s="42"/>
      <c r="O383" s="42"/>
    </row>
    <row r="384" ht="14.25" customHeight="1">
      <c r="D384" s="42"/>
      <c r="E384" s="42"/>
      <c r="M384" s="42"/>
      <c r="O384" s="42"/>
    </row>
    <row r="385" ht="14.25" customHeight="1">
      <c r="D385" s="42"/>
      <c r="E385" s="42"/>
      <c r="M385" s="42"/>
      <c r="O385" s="42"/>
    </row>
    <row r="386" ht="14.25" customHeight="1">
      <c r="D386" s="42"/>
      <c r="E386" s="42"/>
      <c r="M386" s="42"/>
      <c r="O386" s="42"/>
    </row>
    <row r="387" ht="14.25" customHeight="1">
      <c r="D387" s="42"/>
      <c r="E387" s="42"/>
      <c r="M387" s="42"/>
      <c r="O387" s="42"/>
    </row>
    <row r="388" ht="14.25" customHeight="1">
      <c r="D388" s="42"/>
      <c r="E388" s="42"/>
      <c r="M388" s="42"/>
      <c r="O388" s="42"/>
    </row>
    <row r="389" ht="14.25" customHeight="1">
      <c r="D389" s="42"/>
      <c r="E389" s="42"/>
      <c r="M389" s="42"/>
      <c r="O389" s="42"/>
    </row>
    <row r="390" ht="14.25" customHeight="1">
      <c r="D390" s="42"/>
      <c r="E390" s="42"/>
      <c r="M390" s="42"/>
      <c r="O390" s="42"/>
    </row>
    <row r="391" ht="14.25" customHeight="1">
      <c r="D391" s="42"/>
      <c r="E391" s="42"/>
      <c r="M391" s="42"/>
      <c r="O391" s="42"/>
    </row>
    <row r="392" ht="14.25" customHeight="1">
      <c r="D392" s="42"/>
      <c r="E392" s="42"/>
      <c r="M392" s="42"/>
      <c r="O392" s="42"/>
    </row>
    <row r="393" ht="14.25" customHeight="1">
      <c r="D393" s="42"/>
      <c r="E393" s="42"/>
      <c r="M393" s="42"/>
      <c r="O393" s="42"/>
    </row>
    <row r="394" ht="14.25" customHeight="1">
      <c r="D394" s="42"/>
      <c r="E394" s="42"/>
      <c r="M394" s="42"/>
      <c r="O394" s="42"/>
    </row>
    <row r="395" ht="14.25" customHeight="1">
      <c r="D395" s="42"/>
      <c r="E395" s="42"/>
      <c r="M395" s="42"/>
      <c r="O395" s="42"/>
    </row>
    <row r="396" ht="14.25" customHeight="1">
      <c r="D396" s="42"/>
      <c r="E396" s="42"/>
      <c r="M396" s="42"/>
      <c r="O396" s="42"/>
    </row>
    <row r="397" ht="14.25" customHeight="1">
      <c r="D397" s="42"/>
      <c r="E397" s="42"/>
      <c r="M397" s="42"/>
      <c r="O397" s="42"/>
    </row>
    <row r="398" ht="14.25" customHeight="1">
      <c r="D398" s="42"/>
      <c r="E398" s="42"/>
      <c r="M398" s="42"/>
      <c r="O398" s="42"/>
    </row>
    <row r="399" ht="14.25" customHeight="1">
      <c r="D399" s="42"/>
      <c r="E399" s="42"/>
      <c r="M399" s="42"/>
      <c r="O399" s="42"/>
    </row>
    <row r="400" ht="14.25" customHeight="1">
      <c r="D400" s="42"/>
      <c r="E400" s="42"/>
      <c r="M400" s="42"/>
      <c r="O400" s="42"/>
    </row>
    <row r="401" ht="14.25" customHeight="1">
      <c r="D401" s="42"/>
      <c r="E401" s="42"/>
      <c r="M401" s="42"/>
      <c r="O401" s="42"/>
    </row>
    <row r="402" ht="14.25" customHeight="1">
      <c r="D402" s="42"/>
      <c r="E402" s="42"/>
      <c r="M402" s="42"/>
      <c r="O402" s="42"/>
    </row>
    <row r="403" ht="14.25" customHeight="1">
      <c r="D403" s="42"/>
      <c r="E403" s="42"/>
      <c r="M403" s="42"/>
      <c r="O403" s="42"/>
    </row>
    <row r="404" ht="14.25" customHeight="1">
      <c r="D404" s="42"/>
      <c r="E404" s="42"/>
      <c r="M404" s="42"/>
      <c r="O404" s="42"/>
    </row>
    <row r="405" ht="14.25" customHeight="1">
      <c r="D405" s="42"/>
      <c r="E405" s="42"/>
      <c r="M405" s="42"/>
      <c r="O405" s="42"/>
    </row>
    <row r="406" ht="14.25" customHeight="1">
      <c r="D406" s="42"/>
      <c r="E406" s="42"/>
      <c r="M406" s="42"/>
      <c r="O406" s="42"/>
    </row>
    <row r="407" ht="14.25" customHeight="1">
      <c r="D407" s="42"/>
      <c r="E407" s="42"/>
      <c r="M407" s="42"/>
      <c r="O407" s="42"/>
    </row>
    <row r="408" ht="14.25" customHeight="1">
      <c r="D408" s="42"/>
      <c r="E408" s="42"/>
      <c r="M408" s="42"/>
      <c r="O408" s="42"/>
    </row>
    <row r="409" ht="14.25" customHeight="1">
      <c r="D409" s="42"/>
      <c r="E409" s="42"/>
      <c r="M409" s="42"/>
      <c r="O409" s="42"/>
    </row>
    <row r="410" ht="14.25" customHeight="1">
      <c r="D410" s="42"/>
      <c r="E410" s="42"/>
      <c r="M410" s="42"/>
      <c r="O410" s="42"/>
    </row>
    <row r="411" ht="14.25" customHeight="1">
      <c r="D411" s="42"/>
      <c r="E411" s="42"/>
      <c r="M411" s="42"/>
      <c r="O411" s="42"/>
    </row>
    <row r="412" ht="14.25" customHeight="1">
      <c r="D412" s="42"/>
      <c r="E412" s="42"/>
      <c r="M412" s="42"/>
      <c r="O412" s="42"/>
    </row>
    <row r="413" ht="14.25" customHeight="1">
      <c r="D413" s="42"/>
      <c r="E413" s="42"/>
      <c r="M413" s="42"/>
      <c r="O413" s="42"/>
    </row>
    <row r="414" ht="14.25" customHeight="1">
      <c r="D414" s="42"/>
      <c r="E414" s="42"/>
      <c r="M414" s="42"/>
      <c r="O414" s="42"/>
    </row>
    <row r="415" ht="14.25" customHeight="1">
      <c r="D415" s="42"/>
      <c r="E415" s="42"/>
      <c r="M415" s="42"/>
      <c r="O415" s="42"/>
    </row>
    <row r="416" ht="14.25" customHeight="1">
      <c r="D416" s="42"/>
      <c r="E416" s="42"/>
      <c r="M416" s="42"/>
      <c r="O416" s="42"/>
    </row>
    <row r="417" ht="14.25" customHeight="1">
      <c r="D417" s="42"/>
      <c r="E417" s="42"/>
      <c r="M417" s="42"/>
      <c r="O417" s="42"/>
    </row>
    <row r="418" ht="14.25" customHeight="1">
      <c r="D418" s="42"/>
      <c r="E418" s="42"/>
      <c r="M418" s="42"/>
      <c r="O418" s="42"/>
    </row>
    <row r="419" ht="14.25" customHeight="1">
      <c r="D419" s="42"/>
      <c r="E419" s="42"/>
      <c r="M419" s="42"/>
      <c r="O419" s="42"/>
    </row>
    <row r="420" ht="14.25" customHeight="1">
      <c r="D420" s="42"/>
      <c r="E420" s="42"/>
      <c r="M420" s="42"/>
      <c r="O420" s="42"/>
    </row>
    <row r="421" ht="14.25" customHeight="1">
      <c r="D421" s="42"/>
      <c r="E421" s="42"/>
      <c r="M421" s="42"/>
      <c r="O421" s="42"/>
    </row>
    <row r="422" ht="14.25" customHeight="1">
      <c r="D422" s="42"/>
      <c r="E422" s="42"/>
      <c r="M422" s="42"/>
      <c r="O422" s="42"/>
    </row>
    <row r="423" ht="14.25" customHeight="1">
      <c r="D423" s="42"/>
      <c r="E423" s="42"/>
      <c r="M423" s="42"/>
      <c r="O423" s="42"/>
    </row>
    <row r="424" ht="14.25" customHeight="1">
      <c r="D424" s="42"/>
      <c r="E424" s="42"/>
      <c r="M424" s="42"/>
      <c r="O424" s="42"/>
    </row>
    <row r="425" ht="14.25" customHeight="1">
      <c r="D425" s="42"/>
      <c r="E425" s="42"/>
      <c r="M425" s="42"/>
      <c r="O425" s="42"/>
    </row>
    <row r="426" ht="14.25" customHeight="1">
      <c r="D426" s="42"/>
      <c r="E426" s="42"/>
      <c r="M426" s="42"/>
      <c r="O426" s="42"/>
    </row>
    <row r="427" ht="14.25" customHeight="1">
      <c r="D427" s="42"/>
      <c r="E427" s="42"/>
      <c r="M427" s="42"/>
      <c r="O427" s="42"/>
    </row>
    <row r="428" ht="14.25" customHeight="1">
      <c r="D428" s="42"/>
      <c r="E428" s="42"/>
      <c r="M428" s="42"/>
      <c r="O428" s="42"/>
    </row>
    <row r="429" ht="14.25" customHeight="1">
      <c r="D429" s="42"/>
      <c r="E429" s="42"/>
      <c r="M429" s="42"/>
      <c r="O429" s="42"/>
    </row>
    <row r="430" ht="14.25" customHeight="1">
      <c r="D430" s="42"/>
      <c r="E430" s="42"/>
      <c r="M430" s="42"/>
      <c r="O430" s="42"/>
    </row>
    <row r="431" ht="14.25" customHeight="1">
      <c r="D431" s="42"/>
      <c r="E431" s="42"/>
      <c r="M431" s="42"/>
      <c r="O431" s="42"/>
    </row>
    <row r="432" ht="14.25" customHeight="1">
      <c r="D432" s="42"/>
      <c r="E432" s="42"/>
      <c r="M432" s="42"/>
      <c r="O432" s="42"/>
    </row>
    <row r="433" ht="14.25" customHeight="1">
      <c r="D433" s="42"/>
      <c r="E433" s="42"/>
      <c r="M433" s="42"/>
      <c r="O433" s="42"/>
    </row>
    <row r="434" ht="14.25" customHeight="1">
      <c r="D434" s="42"/>
      <c r="E434" s="42"/>
      <c r="M434" s="42"/>
      <c r="O434" s="42"/>
    </row>
    <row r="435" ht="14.25" customHeight="1">
      <c r="D435" s="42"/>
      <c r="E435" s="42"/>
      <c r="M435" s="42"/>
      <c r="O435" s="42"/>
    </row>
    <row r="436" ht="14.25" customHeight="1">
      <c r="D436" s="42"/>
      <c r="E436" s="42"/>
      <c r="M436" s="42"/>
      <c r="O436" s="42"/>
    </row>
    <row r="437" ht="14.25" customHeight="1">
      <c r="D437" s="42"/>
      <c r="E437" s="42"/>
      <c r="M437" s="42"/>
      <c r="O437" s="42"/>
    </row>
    <row r="438" ht="14.25" customHeight="1">
      <c r="D438" s="42"/>
      <c r="E438" s="42"/>
      <c r="M438" s="42"/>
      <c r="O438" s="42"/>
    </row>
    <row r="439" ht="14.25" customHeight="1">
      <c r="D439" s="42"/>
      <c r="E439" s="42"/>
      <c r="M439" s="42"/>
      <c r="O439" s="42"/>
    </row>
    <row r="440" ht="14.25" customHeight="1">
      <c r="D440" s="42"/>
      <c r="E440" s="42"/>
      <c r="M440" s="42"/>
      <c r="O440" s="42"/>
    </row>
    <row r="441" ht="14.25" customHeight="1">
      <c r="D441" s="42"/>
      <c r="E441" s="42"/>
      <c r="M441" s="42"/>
      <c r="O441" s="42"/>
    </row>
    <row r="442" ht="14.25" customHeight="1">
      <c r="D442" s="42"/>
      <c r="E442" s="42"/>
      <c r="M442" s="42"/>
      <c r="O442" s="42"/>
    </row>
    <row r="443" ht="14.25" customHeight="1">
      <c r="D443" s="42"/>
      <c r="E443" s="42"/>
      <c r="M443" s="42"/>
      <c r="O443" s="42"/>
    </row>
    <row r="444" ht="14.25" customHeight="1">
      <c r="D444" s="42"/>
      <c r="E444" s="42"/>
      <c r="M444" s="42"/>
      <c r="O444" s="42"/>
    </row>
    <row r="445" ht="14.25" customHeight="1">
      <c r="D445" s="42"/>
      <c r="E445" s="42"/>
      <c r="M445" s="42"/>
      <c r="O445" s="42"/>
    </row>
    <row r="446" ht="14.25" customHeight="1">
      <c r="D446" s="42"/>
      <c r="E446" s="42"/>
      <c r="M446" s="42"/>
      <c r="O446" s="42"/>
    </row>
    <row r="447" ht="14.25" customHeight="1">
      <c r="D447" s="42"/>
      <c r="E447" s="42"/>
      <c r="M447" s="42"/>
      <c r="O447" s="42"/>
    </row>
    <row r="448" ht="14.25" customHeight="1">
      <c r="D448" s="42"/>
      <c r="E448" s="42"/>
      <c r="M448" s="42"/>
      <c r="O448" s="42"/>
    </row>
    <row r="449" ht="14.25" customHeight="1">
      <c r="D449" s="42"/>
      <c r="E449" s="42"/>
      <c r="M449" s="42"/>
      <c r="O449" s="42"/>
    </row>
    <row r="450" ht="14.25" customHeight="1">
      <c r="D450" s="42"/>
      <c r="E450" s="42"/>
      <c r="M450" s="42"/>
      <c r="O450" s="42"/>
    </row>
    <row r="451" ht="14.25" customHeight="1">
      <c r="D451" s="42"/>
      <c r="E451" s="42"/>
      <c r="M451" s="42"/>
      <c r="O451" s="42"/>
    </row>
    <row r="452" ht="14.25" customHeight="1">
      <c r="D452" s="42"/>
      <c r="E452" s="42"/>
      <c r="M452" s="42"/>
      <c r="O452" s="42"/>
    </row>
    <row r="453" ht="14.25" customHeight="1">
      <c r="D453" s="42"/>
      <c r="E453" s="42"/>
      <c r="M453" s="42"/>
      <c r="O453" s="42"/>
    </row>
    <row r="454" ht="14.25" customHeight="1">
      <c r="D454" s="42"/>
      <c r="E454" s="42"/>
      <c r="M454" s="42"/>
      <c r="O454" s="42"/>
    </row>
    <row r="455" ht="14.25" customHeight="1">
      <c r="D455" s="42"/>
      <c r="E455" s="42"/>
      <c r="M455" s="42"/>
      <c r="O455" s="42"/>
    </row>
    <row r="456" ht="14.25" customHeight="1">
      <c r="D456" s="42"/>
      <c r="E456" s="42"/>
      <c r="M456" s="42"/>
      <c r="O456" s="42"/>
    </row>
    <row r="457" ht="14.25" customHeight="1">
      <c r="D457" s="42"/>
      <c r="E457" s="42"/>
      <c r="M457" s="42"/>
      <c r="O457" s="42"/>
    </row>
    <row r="458" ht="14.25" customHeight="1">
      <c r="D458" s="42"/>
      <c r="E458" s="42"/>
      <c r="M458" s="42"/>
      <c r="O458" s="42"/>
    </row>
    <row r="459" ht="14.25" customHeight="1">
      <c r="D459" s="42"/>
      <c r="E459" s="42"/>
      <c r="M459" s="42"/>
      <c r="O459" s="42"/>
    </row>
    <row r="460" ht="14.25" customHeight="1">
      <c r="D460" s="42"/>
      <c r="E460" s="42"/>
      <c r="M460" s="42"/>
      <c r="O460" s="42"/>
    </row>
    <row r="461" ht="14.25" customHeight="1">
      <c r="D461" s="42"/>
      <c r="E461" s="42"/>
      <c r="M461" s="42"/>
      <c r="O461" s="42"/>
    </row>
    <row r="462" ht="14.25" customHeight="1">
      <c r="D462" s="42"/>
      <c r="E462" s="42"/>
      <c r="M462" s="42"/>
      <c r="O462" s="42"/>
    </row>
    <row r="463" ht="14.25" customHeight="1">
      <c r="D463" s="42"/>
      <c r="E463" s="42"/>
      <c r="M463" s="42"/>
      <c r="O463" s="42"/>
    </row>
    <row r="464" ht="14.25" customHeight="1">
      <c r="D464" s="42"/>
      <c r="E464" s="42"/>
      <c r="M464" s="42"/>
      <c r="O464" s="42"/>
    </row>
    <row r="465" ht="14.25" customHeight="1">
      <c r="D465" s="42"/>
      <c r="E465" s="42"/>
      <c r="M465" s="42"/>
      <c r="O465" s="42"/>
    </row>
    <row r="466" ht="14.25" customHeight="1">
      <c r="D466" s="42"/>
      <c r="E466" s="42"/>
      <c r="M466" s="42"/>
      <c r="O466" s="42"/>
    </row>
    <row r="467" ht="14.25" customHeight="1">
      <c r="D467" s="42"/>
      <c r="E467" s="42"/>
      <c r="M467" s="42"/>
      <c r="O467" s="42"/>
    </row>
    <row r="468" ht="14.25" customHeight="1">
      <c r="D468" s="42"/>
      <c r="E468" s="42"/>
      <c r="M468" s="42"/>
      <c r="O468" s="42"/>
    </row>
    <row r="469" ht="14.25" customHeight="1">
      <c r="D469" s="42"/>
      <c r="E469" s="42"/>
      <c r="M469" s="42"/>
      <c r="O469" s="42"/>
    </row>
    <row r="470" ht="14.25" customHeight="1">
      <c r="D470" s="42"/>
      <c r="E470" s="42"/>
      <c r="M470" s="42"/>
      <c r="O470" s="42"/>
    </row>
    <row r="471" ht="14.25" customHeight="1">
      <c r="D471" s="42"/>
      <c r="E471" s="42"/>
      <c r="M471" s="42"/>
      <c r="O471" s="42"/>
    </row>
    <row r="472" ht="14.25" customHeight="1">
      <c r="D472" s="42"/>
      <c r="E472" s="42"/>
      <c r="M472" s="42"/>
      <c r="O472" s="42"/>
    </row>
    <row r="473" ht="14.25" customHeight="1">
      <c r="D473" s="42"/>
      <c r="E473" s="42"/>
      <c r="M473" s="42"/>
      <c r="O473" s="42"/>
    </row>
    <row r="474" ht="14.25" customHeight="1">
      <c r="D474" s="42"/>
      <c r="E474" s="42"/>
      <c r="M474" s="42"/>
      <c r="O474" s="42"/>
    </row>
    <row r="475" ht="14.25" customHeight="1">
      <c r="D475" s="42"/>
      <c r="E475" s="42"/>
      <c r="M475" s="42"/>
      <c r="O475" s="42"/>
    </row>
    <row r="476" ht="14.25" customHeight="1">
      <c r="D476" s="42"/>
      <c r="E476" s="42"/>
      <c r="M476" s="42"/>
      <c r="O476" s="42"/>
    </row>
    <row r="477" ht="14.25" customHeight="1">
      <c r="D477" s="42"/>
      <c r="E477" s="42"/>
      <c r="M477" s="42"/>
      <c r="O477" s="42"/>
    </row>
    <row r="478" ht="14.25" customHeight="1">
      <c r="D478" s="42"/>
      <c r="E478" s="42"/>
      <c r="M478" s="42"/>
      <c r="O478" s="42"/>
    </row>
    <row r="479" ht="14.25" customHeight="1">
      <c r="D479" s="42"/>
      <c r="E479" s="42"/>
      <c r="M479" s="42"/>
      <c r="O479" s="42"/>
    </row>
    <row r="480" ht="14.25" customHeight="1">
      <c r="D480" s="42"/>
      <c r="E480" s="42"/>
      <c r="M480" s="42"/>
      <c r="O480" s="42"/>
    </row>
    <row r="481" ht="14.25" customHeight="1">
      <c r="D481" s="42"/>
      <c r="E481" s="42"/>
      <c r="M481" s="42"/>
      <c r="O481" s="42"/>
    </row>
    <row r="482" ht="14.25" customHeight="1">
      <c r="D482" s="42"/>
      <c r="E482" s="42"/>
      <c r="M482" s="42"/>
      <c r="O482" s="42"/>
    </row>
    <row r="483" ht="14.25" customHeight="1">
      <c r="D483" s="42"/>
      <c r="E483" s="42"/>
      <c r="M483" s="42"/>
      <c r="O483" s="42"/>
    </row>
    <row r="484" ht="14.25" customHeight="1">
      <c r="D484" s="42"/>
      <c r="E484" s="42"/>
      <c r="M484" s="42"/>
      <c r="O484" s="42"/>
    </row>
    <row r="485" ht="14.25" customHeight="1">
      <c r="D485" s="42"/>
      <c r="E485" s="42"/>
      <c r="M485" s="42"/>
      <c r="O485" s="42"/>
    </row>
    <row r="486" ht="14.25" customHeight="1">
      <c r="D486" s="42"/>
      <c r="E486" s="42"/>
      <c r="M486" s="42"/>
      <c r="O486" s="42"/>
    </row>
    <row r="487" ht="14.25" customHeight="1">
      <c r="D487" s="42"/>
      <c r="E487" s="42"/>
      <c r="M487" s="42"/>
      <c r="O487" s="42"/>
    </row>
    <row r="488" ht="14.25" customHeight="1">
      <c r="D488" s="42"/>
      <c r="E488" s="42"/>
      <c r="M488" s="42"/>
      <c r="O488" s="42"/>
    </row>
    <row r="489" ht="14.25" customHeight="1">
      <c r="D489" s="42"/>
      <c r="E489" s="42"/>
      <c r="M489" s="42"/>
      <c r="O489" s="42"/>
    </row>
    <row r="490" ht="14.25" customHeight="1">
      <c r="D490" s="42"/>
      <c r="E490" s="42"/>
      <c r="M490" s="42"/>
      <c r="O490" s="42"/>
    </row>
    <row r="491" ht="14.25" customHeight="1">
      <c r="D491" s="42"/>
      <c r="E491" s="42"/>
      <c r="M491" s="42"/>
      <c r="O491" s="42"/>
    </row>
    <row r="492" ht="14.25" customHeight="1">
      <c r="D492" s="42"/>
      <c r="E492" s="42"/>
      <c r="M492" s="42"/>
      <c r="O492" s="42"/>
    </row>
    <row r="493" ht="14.25" customHeight="1">
      <c r="D493" s="42"/>
      <c r="E493" s="42"/>
      <c r="M493" s="42"/>
      <c r="O493" s="42"/>
    </row>
    <row r="494" ht="14.25" customHeight="1">
      <c r="D494" s="42"/>
      <c r="E494" s="42"/>
      <c r="M494" s="42"/>
      <c r="O494" s="42"/>
    </row>
    <row r="495" ht="14.25" customHeight="1">
      <c r="D495" s="42"/>
      <c r="E495" s="42"/>
      <c r="M495" s="42"/>
      <c r="O495" s="42"/>
    </row>
    <row r="496" ht="14.25" customHeight="1">
      <c r="D496" s="42"/>
      <c r="E496" s="42"/>
      <c r="M496" s="42"/>
      <c r="O496" s="42"/>
    </row>
    <row r="497" ht="14.25" customHeight="1">
      <c r="D497" s="42"/>
      <c r="E497" s="42"/>
      <c r="M497" s="42"/>
      <c r="O497" s="42"/>
    </row>
    <row r="498" ht="14.25" customHeight="1">
      <c r="D498" s="42"/>
      <c r="E498" s="42"/>
      <c r="M498" s="42"/>
      <c r="O498" s="42"/>
    </row>
    <row r="499" ht="14.25" customHeight="1">
      <c r="D499" s="42"/>
      <c r="E499" s="42"/>
      <c r="M499" s="42"/>
      <c r="O499" s="42"/>
    </row>
    <row r="500" ht="14.25" customHeight="1">
      <c r="D500" s="42"/>
      <c r="E500" s="42"/>
      <c r="M500" s="42"/>
      <c r="O500" s="42"/>
    </row>
    <row r="501" ht="14.25" customHeight="1">
      <c r="D501" s="42"/>
      <c r="E501" s="42"/>
      <c r="M501" s="42"/>
      <c r="O501" s="42"/>
    </row>
    <row r="502" ht="14.25" customHeight="1">
      <c r="D502" s="42"/>
      <c r="E502" s="42"/>
      <c r="M502" s="42"/>
      <c r="O502" s="42"/>
    </row>
    <row r="503" ht="14.25" customHeight="1">
      <c r="D503" s="42"/>
      <c r="E503" s="42"/>
      <c r="M503" s="42"/>
      <c r="O503" s="42"/>
    </row>
    <row r="504" ht="14.25" customHeight="1">
      <c r="D504" s="42"/>
      <c r="E504" s="42"/>
      <c r="M504" s="42"/>
      <c r="O504" s="42"/>
    </row>
    <row r="505" ht="14.25" customHeight="1">
      <c r="D505" s="42"/>
      <c r="E505" s="42"/>
      <c r="M505" s="42"/>
      <c r="O505" s="42"/>
    </row>
    <row r="506" ht="14.25" customHeight="1">
      <c r="D506" s="42"/>
      <c r="E506" s="42"/>
      <c r="M506" s="42"/>
      <c r="O506" s="42"/>
    </row>
    <row r="507" ht="14.25" customHeight="1">
      <c r="D507" s="42"/>
      <c r="E507" s="42"/>
      <c r="M507" s="42"/>
      <c r="O507" s="42"/>
    </row>
    <row r="508" ht="14.25" customHeight="1">
      <c r="D508" s="42"/>
      <c r="E508" s="42"/>
      <c r="M508" s="42"/>
      <c r="O508" s="42"/>
    </row>
    <row r="509" ht="14.25" customHeight="1">
      <c r="D509" s="42"/>
      <c r="E509" s="42"/>
      <c r="M509" s="42"/>
      <c r="O509" s="42"/>
    </row>
    <row r="510" ht="14.25" customHeight="1">
      <c r="D510" s="42"/>
      <c r="E510" s="42"/>
      <c r="M510" s="42"/>
      <c r="O510" s="42"/>
    </row>
    <row r="511" ht="14.25" customHeight="1">
      <c r="D511" s="42"/>
      <c r="E511" s="42"/>
      <c r="M511" s="42"/>
      <c r="O511" s="42"/>
    </row>
    <row r="512" ht="14.25" customHeight="1">
      <c r="D512" s="42"/>
      <c r="E512" s="42"/>
      <c r="M512" s="42"/>
      <c r="O512" s="42"/>
    </row>
    <row r="513" ht="14.25" customHeight="1">
      <c r="D513" s="42"/>
      <c r="E513" s="42"/>
      <c r="M513" s="42"/>
      <c r="O513" s="42"/>
    </row>
    <row r="514" ht="14.25" customHeight="1">
      <c r="D514" s="42"/>
      <c r="E514" s="42"/>
      <c r="M514" s="42"/>
      <c r="O514" s="42"/>
    </row>
    <row r="515" ht="14.25" customHeight="1">
      <c r="D515" s="42"/>
      <c r="E515" s="42"/>
      <c r="M515" s="42"/>
      <c r="O515" s="42"/>
    </row>
    <row r="516" ht="14.25" customHeight="1">
      <c r="D516" s="42"/>
      <c r="E516" s="42"/>
      <c r="M516" s="42"/>
      <c r="O516" s="42"/>
    </row>
    <row r="517" ht="14.25" customHeight="1">
      <c r="D517" s="42"/>
      <c r="E517" s="42"/>
      <c r="M517" s="42"/>
      <c r="O517" s="42"/>
    </row>
    <row r="518" ht="14.25" customHeight="1">
      <c r="D518" s="42"/>
      <c r="E518" s="42"/>
      <c r="M518" s="42"/>
      <c r="O518" s="42"/>
    </row>
    <row r="519" ht="14.25" customHeight="1">
      <c r="D519" s="42"/>
      <c r="E519" s="42"/>
      <c r="M519" s="42"/>
      <c r="O519" s="42"/>
    </row>
    <row r="520" ht="14.25" customHeight="1">
      <c r="D520" s="42"/>
      <c r="E520" s="42"/>
      <c r="M520" s="42"/>
      <c r="O520" s="42"/>
    </row>
    <row r="521" ht="14.25" customHeight="1">
      <c r="D521" s="42"/>
      <c r="E521" s="42"/>
      <c r="M521" s="42"/>
      <c r="O521" s="42"/>
    </row>
    <row r="522" ht="14.25" customHeight="1">
      <c r="D522" s="42"/>
      <c r="E522" s="42"/>
      <c r="M522" s="42"/>
      <c r="O522" s="42"/>
    </row>
    <row r="523" ht="14.25" customHeight="1">
      <c r="D523" s="42"/>
      <c r="E523" s="42"/>
      <c r="M523" s="42"/>
      <c r="O523" s="42"/>
    </row>
    <row r="524" ht="14.25" customHeight="1">
      <c r="D524" s="42"/>
      <c r="E524" s="42"/>
      <c r="M524" s="42"/>
      <c r="O524" s="42"/>
    </row>
    <row r="525" ht="14.25" customHeight="1">
      <c r="D525" s="42"/>
      <c r="E525" s="42"/>
      <c r="M525" s="42"/>
      <c r="O525" s="42"/>
    </row>
    <row r="526" ht="14.25" customHeight="1">
      <c r="D526" s="42"/>
      <c r="E526" s="42"/>
      <c r="M526" s="42"/>
      <c r="O526" s="42"/>
    </row>
    <row r="527" ht="14.25" customHeight="1">
      <c r="D527" s="42"/>
      <c r="E527" s="42"/>
      <c r="M527" s="42"/>
      <c r="O527" s="42"/>
    </row>
    <row r="528" ht="14.25" customHeight="1">
      <c r="D528" s="42"/>
      <c r="E528" s="42"/>
      <c r="M528" s="42"/>
      <c r="O528" s="42"/>
    </row>
    <row r="529" ht="14.25" customHeight="1">
      <c r="D529" s="42"/>
      <c r="E529" s="42"/>
      <c r="M529" s="42"/>
      <c r="O529" s="42"/>
    </row>
    <row r="530" ht="14.25" customHeight="1">
      <c r="D530" s="42"/>
      <c r="E530" s="42"/>
      <c r="M530" s="42"/>
      <c r="O530" s="42"/>
    </row>
    <row r="531" ht="14.25" customHeight="1">
      <c r="D531" s="42"/>
      <c r="E531" s="42"/>
      <c r="M531" s="42"/>
      <c r="O531" s="42"/>
    </row>
    <row r="532" ht="14.25" customHeight="1">
      <c r="D532" s="42"/>
      <c r="E532" s="42"/>
      <c r="M532" s="42"/>
      <c r="O532" s="42"/>
    </row>
    <row r="533" ht="14.25" customHeight="1">
      <c r="D533" s="42"/>
      <c r="E533" s="42"/>
      <c r="M533" s="42"/>
      <c r="O533" s="42"/>
    </row>
    <row r="534" ht="14.25" customHeight="1">
      <c r="D534" s="42"/>
      <c r="E534" s="42"/>
      <c r="M534" s="42"/>
      <c r="O534" s="42"/>
    </row>
    <row r="535" ht="14.25" customHeight="1">
      <c r="D535" s="42"/>
      <c r="E535" s="42"/>
      <c r="M535" s="42"/>
      <c r="O535" s="42"/>
    </row>
    <row r="536" ht="14.25" customHeight="1">
      <c r="D536" s="42"/>
      <c r="E536" s="42"/>
      <c r="M536" s="42"/>
      <c r="O536" s="42"/>
    </row>
    <row r="537" ht="14.25" customHeight="1">
      <c r="D537" s="42"/>
      <c r="E537" s="42"/>
      <c r="M537" s="42"/>
      <c r="O537" s="42"/>
    </row>
    <row r="538" ht="14.25" customHeight="1">
      <c r="D538" s="42"/>
      <c r="E538" s="42"/>
      <c r="M538" s="42"/>
      <c r="O538" s="42"/>
    </row>
    <row r="539" ht="14.25" customHeight="1">
      <c r="D539" s="42"/>
      <c r="E539" s="42"/>
      <c r="M539" s="42"/>
      <c r="O539" s="42"/>
    </row>
    <row r="540" ht="14.25" customHeight="1">
      <c r="D540" s="42"/>
      <c r="E540" s="42"/>
      <c r="M540" s="42"/>
      <c r="O540" s="42"/>
    </row>
    <row r="541" ht="14.25" customHeight="1">
      <c r="D541" s="42"/>
      <c r="E541" s="42"/>
      <c r="M541" s="42"/>
      <c r="O541" s="42"/>
    </row>
    <row r="542" ht="14.25" customHeight="1">
      <c r="D542" s="42"/>
      <c r="E542" s="42"/>
      <c r="M542" s="42"/>
      <c r="O542" s="42"/>
    </row>
    <row r="543" ht="14.25" customHeight="1">
      <c r="D543" s="42"/>
      <c r="E543" s="42"/>
      <c r="M543" s="42"/>
      <c r="O543" s="42"/>
    </row>
    <row r="544" ht="14.25" customHeight="1">
      <c r="D544" s="42"/>
      <c r="E544" s="42"/>
      <c r="M544" s="42"/>
      <c r="O544" s="42"/>
    </row>
    <row r="545" ht="14.25" customHeight="1">
      <c r="D545" s="42"/>
      <c r="E545" s="42"/>
      <c r="M545" s="42"/>
      <c r="O545" s="42"/>
    </row>
    <row r="546" ht="14.25" customHeight="1">
      <c r="D546" s="42"/>
      <c r="E546" s="42"/>
      <c r="M546" s="42"/>
      <c r="O546" s="42"/>
    </row>
    <row r="547" ht="14.25" customHeight="1">
      <c r="D547" s="42"/>
      <c r="E547" s="42"/>
      <c r="M547" s="42"/>
      <c r="O547" s="42"/>
    </row>
    <row r="548" ht="14.25" customHeight="1">
      <c r="D548" s="42"/>
      <c r="E548" s="42"/>
      <c r="M548" s="42"/>
      <c r="O548" s="42"/>
    </row>
    <row r="549" ht="14.25" customHeight="1">
      <c r="D549" s="42"/>
      <c r="E549" s="42"/>
      <c r="M549" s="42"/>
      <c r="O549" s="42"/>
    </row>
    <row r="550" ht="14.25" customHeight="1">
      <c r="D550" s="42"/>
      <c r="E550" s="42"/>
      <c r="M550" s="42"/>
      <c r="O550" s="42"/>
    </row>
    <row r="551" ht="14.25" customHeight="1">
      <c r="D551" s="42"/>
      <c r="E551" s="42"/>
      <c r="M551" s="42"/>
      <c r="O551" s="42"/>
    </row>
    <row r="552" ht="14.25" customHeight="1">
      <c r="D552" s="42"/>
      <c r="E552" s="42"/>
      <c r="M552" s="42"/>
      <c r="O552" s="42"/>
    </row>
    <row r="553" ht="14.25" customHeight="1">
      <c r="D553" s="42"/>
      <c r="E553" s="42"/>
      <c r="M553" s="42"/>
      <c r="O553" s="42"/>
    </row>
    <row r="554" ht="14.25" customHeight="1">
      <c r="D554" s="42"/>
      <c r="E554" s="42"/>
      <c r="M554" s="42"/>
      <c r="O554" s="42"/>
    </row>
    <row r="555" ht="14.25" customHeight="1">
      <c r="D555" s="42"/>
      <c r="E555" s="42"/>
      <c r="M555" s="42"/>
      <c r="O555" s="42"/>
    </row>
    <row r="556" ht="14.25" customHeight="1">
      <c r="D556" s="42"/>
      <c r="E556" s="42"/>
      <c r="M556" s="42"/>
      <c r="O556" s="42"/>
    </row>
    <row r="557" ht="14.25" customHeight="1">
      <c r="D557" s="42"/>
      <c r="E557" s="42"/>
      <c r="M557" s="42"/>
      <c r="O557" s="42"/>
    </row>
    <row r="558" ht="14.25" customHeight="1">
      <c r="D558" s="42"/>
      <c r="E558" s="42"/>
      <c r="M558" s="42"/>
      <c r="O558" s="42"/>
    </row>
    <row r="559" ht="14.25" customHeight="1">
      <c r="D559" s="42"/>
      <c r="E559" s="42"/>
      <c r="M559" s="42"/>
      <c r="O559" s="42"/>
    </row>
    <row r="560" ht="14.25" customHeight="1">
      <c r="D560" s="42"/>
      <c r="E560" s="42"/>
      <c r="M560" s="42"/>
      <c r="O560" s="42"/>
    </row>
    <row r="561" ht="14.25" customHeight="1">
      <c r="D561" s="42"/>
      <c r="E561" s="42"/>
      <c r="M561" s="42"/>
      <c r="O561" s="42"/>
    </row>
    <row r="562" ht="14.25" customHeight="1">
      <c r="D562" s="42"/>
      <c r="E562" s="42"/>
      <c r="M562" s="42"/>
      <c r="O562" s="42"/>
    </row>
    <row r="563" ht="14.25" customHeight="1">
      <c r="D563" s="42"/>
      <c r="E563" s="42"/>
      <c r="M563" s="42"/>
      <c r="O563" s="42"/>
    </row>
    <row r="564" ht="14.25" customHeight="1">
      <c r="D564" s="42"/>
      <c r="E564" s="42"/>
      <c r="M564" s="42"/>
      <c r="O564" s="42"/>
    </row>
    <row r="565" ht="14.25" customHeight="1">
      <c r="D565" s="42"/>
      <c r="E565" s="42"/>
      <c r="M565" s="42"/>
      <c r="O565" s="42"/>
    </row>
    <row r="566" ht="14.25" customHeight="1">
      <c r="D566" s="42"/>
      <c r="E566" s="42"/>
      <c r="M566" s="42"/>
      <c r="O566" s="42"/>
    </row>
    <row r="567" ht="14.25" customHeight="1">
      <c r="D567" s="42"/>
      <c r="E567" s="42"/>
      <c r="M567" s="42"/>
      <c r="O567" s="42"/>
    </row>
    <row r="568" ht="14.25" customHeight="1">
      <c r="D568" s="42"/>
      <c r="E568" s="42"/>
      <c r="M568" s="42"/>
      <c r="O568" s="42"/>
    </row>
    <row r="569" ht="14.25" customHeight="1">
      <c r="D569" s="42"/>
      <c r="E569" s="42"/>
      <c r="M569" s="42"/>
      <c r="O569" s="42"/>
    </row>
    <row r="570" ht="14.25" customHeight="1">
      <c r="D570" s="42"/>
      <c r="E570" s="42"/>
      <c r="M570" s="42"/>
      <c r="O570" s="42"/>
    </row>
    <row r="571" ht="14.25" customHeight="1">
      <c r="D571" s="42"/>
      <c r="E571" s="42"/>
      <c r="M571" s="42"/>
      <c r="O571" s="42"/>
    </row>
    <row r="572" ht="14.25" customHeight="1">
      <c r="D572" s="42"/>
      <c r="E572" s="42"/>
      <c r="M572" s="42"/>
      <c r="O572" s="42"/>
    </row>
    <row r="573" ht="14.25" customHeight="1">
      <c r="D573" s="42"/>
      <c r="E573" s="42"/>
      <c r="M573" s="42"/>
      <c r="O573" s="42"/>
    </row>
    <row r="574" ht="14.25" customHeight="1">
      <c r="D574" s="42"/>
      <c r="E574" s="42"/>
      <c r="M574" s="42"/>
      <c r="O574" s="42"/>
    </row>
    <row r="575" ht="14.25" customHeight="1">
      <c r="D575" s="42"/>
      <c r="E575" s="42"/>
      <c r="M575" s="42"/>
      <c r="O575" s="42"/>
    </row>
    <row r="576" ht="14.25" customHeight="1">
      <c r="D576" s="42"/>
      <c r="E576" s="42"/>
      <c r="M576" s="42"/>
      <c r="O576" s="42"/>
    </row>
    <row r="577" ht="14.25" customHeight="1">
      <c r="D577" s="42"/>
      <c r="E577" s="42"/>
      <c r="M577" s="42"/>
      <c r="O577" s="42"/>
    </row>
    <row r="578" ht="14.25" customHeight="1">
      <c r="D578" s="42"/>
      <c r="E578" s="42"/>
      <c r="M578" s="42"/>
      <c r="O578" s="42"/>
    </row>
    <row r="579" ht="14.25" customHeight="1">
      <c r="D579" s="42"/>
      <c r="E579" s="42"/>
      <c r="M579" s="42"/>
      <c r="O579" s="42"/>
    </row>
    <row r="580" ht="14.25" customHeight="1">
      <c r="D580" s="42"/>
      <c r="E580" s="42"/>
      <c r="M580" s="42"/>
      <c r="O580" s="42"/>
    </row>
    <row r="581" ht="14.25" customHeight="1">
      <c r="D581" s="42"/>
      <c r="E581" s="42"/>
      <c r="M581" s="42"/>
      <c r="O581" s="42"/>
    </row>
    <row r="582" ht="14.25" customHeight="1">
      <c r="D582" s="42"/>
      <c r="E582" s="42"/>
      <c r="M582" s="42"/>
      <c r="O582" s="42"/>
    </row>
    <row r="583" ht="14.25" customHeight="1">
      <c r="D583" s="42"/>
      <c r="E583" s="42"/>
      <c r="M583" s="42"/>
      <c r="O583" s="42"/>
    </row>
    <row r="584" ht="14.25" customHeight="1">
      <c r="D584" s="42"/>
      <c r="E584" s="42"/>
      <c r="M584" s="42"/>
      <c r="O584" s="42"/>
    </row>
    <row r="585" ht="14.25" customHeight="1">
      <c r="D585" s="42"/>
      <c r="E585" s="42"/>
      <c r="M585" s="42"/>
      <c r="O585" s="42"/>
    </row>
    <row r="586" ht="14.25" customHeight="1">
      <c r="D586" s="42"/>
      <c r="E586" s="42"/>
      <c r="M586" s="42"/>
      <c r="O586" s="42"/>
    </row>
    <row r="587" ht="14.25" customHeight="1">
      <c r="D587" s="42"/>
      <c r="E587" s="42"/>
      <c r="M587" s="42"/>
      <c r="O587" s="42"/>
    </row>
    <row r="588" ht="14.25" customHeight="1">
      <c r="D588" s="42"/>
      <c r="E588" s="42"/>
      <c r="M588" s="42"/>
      <c r="O588" s="42"/>
    </row>
    <row r="589" ht="14.25" customHeight="1">
      <c r="D589" s="42"/>
      <c r="E589" s="42"/>
      <c r="M589" s="42"/>
      <c r="O589" s="42"/>
    </row>
    <row r="590" ht="14.25" customHeight="1">
      <c r="D590" s="42"/>
      <c r="E590" s="42"/>
      <c r="M590" s="42"/>
      <c r="O590" s="42"/>
    </row>
    <row r="591" ht="14.25" customHeight="1">
      <c r="D591" s="42"/>
      <c r="E591" s="42"/>
      <c r="M591" s="42"/>
      <c r="O591" s="42"/>
    </row>
    <row r="592" ht="14.25" customHeight="1">
      <c r="D592" s="42"/>
      <c r="E592" s="42"/>
      <c r="M592" s="42"/>
      <c r="O592" s="42"/>
    </row>
    <row r="593" ht="14.25" customHeight="1">
      <c r="D593" s="42"/>
      <c r="E593" s="42"/>
      <c r="M593" s="42"/>
      <c r="O593" s="42"/>
    </row>
    <row r="594" ht="14.25" customHeight="1">
      <c r="D594" s="42"/>
      <c r="E594" s="42"/>
      <c r="M594" s="42"/>
      <c r="O594" s="42"/>
    </row>
    <row r="595" ht="14.25" customHeight="1">
      <c r="D595" s="42"/>
      <c r="E595" s="42"/>
      <c r="M595" s="42"/>
      <c r="O595" s="42"/>
    </row>
    <row r="596" ht="14.25" customHeight="1">
      <c r="D596" s="42"/>
      <c r="E596" s="42"/>
      <c r="M596" s="42"/>
      <c r="O596" s="42"/>
    </row>
    <row r="597" ht="14.25" customHeight="1">
      <c r="D597" s="42"/>
      <c r="E597" s="42"/>
      <c r="M597" s="42"/>
      <c r="O597" s="42"/>
    </row>
    <row r="598" ht="14.25" customHeight="1">
      <c r="D598" s="42"/>
      <c r="E598" s="42"/>
      <c r="M598" s="42"/>
      <c r="O598" s="42"/>
    </row>
    <row r="599" ht="14.25" customHeight="1">
      <c r="D599" s="42"/>
      <c r="E599" s="42"/>
      <c r="M599" s="42"/>
      <c r="O599" s="42"/>
    </row>
    <row r="600" ht="14.25" customHeight="1">
      <c r="D600" s="42"/>
      <c r="E600" s="42"/>
      <c r="M600" s="42"/>
      <c r="O600" s="42"/>
    </row>
    <row r="601" ht="14.25" customHeight="1">
      <c r="D601" s="42"/>
      <c r="E601" s="42"/>
      <c r="M601" s="42"/>
      <c r="O601" s="42"/>
    </row>
    <row r="602" ht="14.25" customHeight="1">
      <c r="D602" s="42"/>
      <c r="E602" s="42"/>
      <c r="M602" s="42"/>
      <c r="O602" s="42"/>
    </row>
    <row r="603" ht="14.25" customHeight="1">
      <c r="D603" s="42"/>
      <c r="E603" s="42"/>
      <c r="M603" s="42"/>
      <c r="O603" s="42"/>
    </row>
    <row r="604" ht="14.25" customHeight="1">
      <c r="D604" s="42"/>
      <c r="E604" s="42"/>
      <c r="M604" s="42"/>
      <c r="O604" s="42"/>
    </row>
    <row r="605" ht="14.25" customHeight="1">
      <c r="D605" s="42"/>
      <c r="E605" s="42"/>
      <c r="M605" s="42"/>
      <c r="O605" s="42"/>
    </row>
    <row r="606" ht="14.25" customHeight="1">
      <c r="D606" s="42"/>
      <c r="E606" s="42"/>
      <c r="M606" s="42"/>
      <c r="O606" s="42"/>
    </row>
    <row r="607" ht="14.25" customHeight="1">
      <c r="D607" s="42"/>
      <c r="E607" s="42"/>
      <c r="M607" s="42"/>
      <c r="O607" s="42"/>
    </row>
    <row r="608" ht="14.25" customHeight="1">
      <c r="D608" s="42"/>
      <c r="E608" s="42"/>
      <c r="M608" s="42"/>
      <c r="O608" s="42"/>
    </row>
    <row r="609" ht="14.25" customHeight="1">
      <c r="D609" s="42"/>
      <c r="E609" s="42"/>
      <c r="M609" s="42"/>
      <c r="O609" s="42"/>
    </row>
    <row r="610" ht="14.25" customHeight="1">
      <c r="D610" s="42"/>
      <c r="E610" s="42"/>
      <c r="M610" s="42"/>
      <c r="O610" s="42"/>
    </row>
    <row r="611" ht="14.25" customHeight="1">
      <c r="D611" s="42"/>
      <c r="E611" s="42"/>
      <c r="M611" s="42"/>
      <c r="O611" s="42"/>
    </row>
    <row r="612" ht="14.25" customHeight="1">
      <c r="D612" s="42"/>
      <c r="E612" s="42"/>
      <c r="M612" s="42"/>
      <c r="O612" s="42"/>
    </row>
    <row r="613" ht="14.25" customHeight="1">
      <c r="D613" s="42"/>
      <c r="E613" s="42"/>
      <c r="M613" s="42"/>
      <c r="O613" s="42"/>
    </row>
    <row r="614" ht="14.25" customHeight="1">
      <c r="D614" s="42"/>
      <c r="E614" s="42"/>
      <c r="M614" s="42"/>
      <c r="O614" s="42"/>
    </row>
    <row r="615" ht="14.25" customHeight="1">
      <c r="D615" s="42"/>
      <c r="E615" s="42"/>
      <c r="M615" s="42"/>
      <c r="O615" s="42"/>
    </row>
    <row r="616" ht="14.25" customHeight="1">
      <c r="D616" s="42"/>
      <c r="E616" s="42"/>
      <c r="M616" s="42"/>
      <c r="O616" s="42"/>
    </row>
    <row r="617" ht="14.25" customHeight="1">
      <c r="D617" s="42"/>
      <c r="E617" s="42"/>
      <c r="M617" s="42"/>
      <c r="O617" s="42"/>
    </row>
    <row r="618" ht="14.25" customHeight="1">
      <c r="D618" s="42"/>
      <c r="E618" s="42"/>
      <c r="M618" s="42"/>
      <c r="O618" s="42"/>
    </row>
    <row r="619" ht="14.25" customHeight="1">
      <c r="D619" s="42"/>
      <c r="E619" s="42"/>
      <c r="M619" s="42"/>
      <c r="O619" s="42"/>
    </row>
    <row r="620" ht="14.25" customHeight="1">
      <c r="D620" s="42"/>
      <c r="E620" s="42"/>
      <c r="M620" s="42"/>
      <c r="O620" s="42"/>
    </row>
    <row r="621" ht="14.25" customHeight="1">
      <c r="D621" s="42"/>
      <c r="E621" s="42"/>
      <c r="M621" s="42"/>
      <c r="O621" s="42"/>
    </row>
    <row r="622" ht="14.25" customHeight="1">
      <c r="D622" s="42"/>
      <c r="E622" s="42"/>
      <c r="M622" s="42"/>
      <c r="O622" s="42"/>
    </row>
    <row r="623" ht="14.25" customHeight="1">
      <c r="D623" s="42"/>
      <c r="E623" s="42"/>
      <c r="M623" s="42"/>
      <c r="O623" s="42"/>
    </row>
    <row r="624" ht="14.25" customHeight="1">
      <c r="D624" s="42"/>
      <c r="E624" s="42"/>
      <c r="M624" s="42"/>
      <c r="O624" s="42"/>
    </row>
    <row r="625" ht="14.25" customHeight="1">
      <c r="D625" s="42"/>
      <c r="E625" s="42"/>
      <c r="M625" s="42"/>
      <c r="O625" s="42"/>
    </row>
    <row r="626" ht="14.25" customHeight="1">
      <c r="D626" s="42"/>
      <c r="E626" s="42"/>
      <c r="M626" s="42"/>
      <c r="O626" s="42"/>
    </row>
    <row r="627" ht="14.25" customHeight="1">
      <c r="D627" s="42"/>
      <c r="E627" s="42"/>
      <c r="M627" s="42"/>
      <c r="O627" s="42"/>
    </row>
    <row r="628" ht="14.25" customHeight="1">
      <c r="D628" s="42"/>
      <c r="E628" s="42"/>
      <c r="M628" s="42"/>
      <c r="O628" s="42"/>
    </row>
    <row r="629" ht="14.25" customHeight="1">
      <c r="D629" s="42"/>
      <c r="E629" s="42"/>
      <c r="M629" s="42"/>
      <c r="O629" s="42"/>
    </row>
    <row r="630" ht="14.25" customHeight="1">
      <c r="D630" s="42"/>
      <c r="E630" s="42"/>
      <c r="M630" s="42"/>
      <c r="O630" s="42"/>
    </row>
    <row r="631" ht="14.25" customHeight="1">
      <c r="D631" s="42"/>
      <c r="E631" s="42"/>
      <c r="M631" s="42"/>
      <c r="O631" s="42"/>
    </row>
    <row r="632" ht="14.25" customHeight="1">
      <c r="D632" s="42"/>
      <c r="E632" s="42"/>
      <c r="M632" s="42"/>
      <c r="O632" s="42"/>
    </row>
    <row r="633" ht="14.25" customHeight="1">
      <c r="D633" s="42"/>
      <c r="E633" s="42"/>
      <c r="M633" s="42"/>
      <c r="O633" s="42"/>
    </row>
    <row r="634" ht="14.25" customHeight="1">
      <c r="D634" s="42"/>
      <c r="E634" s="42"/>
      <c r="M634" s="42"/>
      <c r="O634" s="42"/>
    </row>
    <row r="635" ht="14.25" customHeight="1">
      <c r="D635" s="42"/>
      <c r="E635" s="42"/>
      <c r="M635" s="42"/>
      <c r="O635" s="42"/>
    </row>
    <row r="636" ht="14.25" customHeight="1">
      <c r="D636" s="42"/>
      <c r="E636" s="42"/>
      <c r="M636" s="42"/>
      <c r="O636" s="42"/>
    </row>
    <row r="637" ht="14.25" customHeight="1">
      <c r="D637" s="42"/>
      <c r="E637" s="42"/>
      <c r="M637" s="42"/>
      <c r="O637" s="42"/>
    </row>
    <row r="638" ht="14.25" customHeight="1">
      <c r="D638" s="42"/>
      <c r="E638" s="42"/>
      <c r="M638" s="42"/>
      <c r="O638" s="42"/>
    </row>
    <row r="639" ht="14.25" customHeight="1">
      <c r="D639" s="42"/>
      <c r="E639" s="42"/>
      <c r="M639" s="42"/>
      <c r="O639" s="42"/>
    </row>
    <row r="640" ht="14.25" customHeight="1">
      <c r="D640" s="42"/>
      <c r="E640" s="42"/>
      <c r="M640" s="42"/>
      <c r="O640" s="42"/>
    </row>
    <row r="641" ht="14.25" customHeight="1">
      <c r="D641" s="42"/>
      <c r="E641" s="42"/>
      <c r="M641" s="42"/>
      <c r="O641" s="42"/>
    </row>
    <row r="642" ht="14.25" customHeight="1">
      <c r="D642" s="42"/>
      <c r="E642" s="42"/>
      <c r="M642" s="42"/>
      <c r="O642" s="42"/>
    </row>
    <row r="643" ht="14.25" customHeight="1">
      <c r="D643" s="42"/>
      <c r="E643" s="42"/>
      <c r="M643" s="42"/>
      <c r="O643" s="42"/>
    </row>
    <row r="644" ht="14.25" customHeight="1">
      <c r="D644" s="42"/>
      <c r="E644" s="42"/>
      <c r="M644" s="42"/>
      <c r="O644" s="42"/>
    </row>
    <row r="645" ht="14.25" customHeight="1">
      <c r="D645" s="42"/>
      <c r="E645" s="42"/>
      <c r="M645" s="42"/>
      <c r="O645" s="42"/>
    </row>
    <row r="646" ht="14.25" customHeight="1">
      <c r="D646" s="42"/>
      <c r="E646" s="42"/>
      <c r="M646" s="42"/>
      <c r="O646" s="42"/>
    </row>
    <row r="647" ht="14.25" customHeight="1">
      <c r="D647" s="42"/>
      <c r="E647" s="42"/>
      <c r="M647" s="42"/>
      <c r="O647" s="42"/>
    </row>
    <row r="648" ht="14.25" customHeight="1">
      <c r="D648" s="42"/>
      <c r="E648" s="42"/>
      <c r="M648" s="42"/>
      <c r="O648" s="42"/>
    </row>
    <row r="649" ht="14.25" customHeight="1">
      <c r="D649" s="42"/>
      <c r="E649" s="42"/>
      <c r="M649" s="42"/>
      <c r="O649" s="42"/>
    </row>
    <row r="650" ht="14.25" customHeight="1">
      <c r="D650" s="42"/>
      <c r="E650" s="42"/>
      <c r="M650" s="42"/>
      <c r="O650" s="42"/>
    </row>
    <row r="651" ht="14.25" customHeight="1">
      <c r="D651" s="42"/>
      <c r="E651" s="42"/>
      <c r="M651" s="42"/>
      <c r="O651" s="42"/>
    </row>
    <row r="652" ht="14.25" customHeight="1">
      <c r="D652" s="42"/>
      <c r="E652" s="42"/>
      <c r="M652" s="42"/>
      <c r="O652" s="42"/>
    </row>
    <row r="653" ht="14.25" customHeight="1">
      <c r="D653" s="42"/>
      <c r="E653" s="42"/>
      <c r="M653" s="42"/>
      <c r="O653" s="42"/>
    </row>
    <row r="654" ht="14.25" customHeight="1">
      <c r="D654" s="42"/>
      <c r="E654" s="42"/>
      <c r="M654" s="42"/>
      <c r="O654" s="42"/>
    </row>
    <row r="655" ht="14.25" customHeight="1">
      <c r="D655" s="42"/>
      <c r="E655" s="42"/>
      <c r="M655" s="42"/>
      <c r="O655" s="42"/>
    </row>
    <row r="656" ht="14.25" customHeight="1">
      <c r="D656" s="42"/>
      <c r="E656" s="42"/>
      <c r="M656" s="42"/>
      <c r="O656" s="42"/>
    </row>
    <row r="657" ht="14.25" customHeight="1">
      <c r="D657" s="42"/>
      <c r="E657" s="42"/>
      <c r="M657" s="42"/>
      <c r="O657" s="42"/>
    </row>
    <row r="658" ht="14.25" customHeight="1">
      <c r="D658" s="42"/>
      <c r="E658" s="42"/>
      <c r="M658" s="42"/>
      <c r="O658" s="42"/>
    </row>
    <row r="659" ht="14.25" customHeight="1">
      <c r="D659" s="42"/>
      <c r="E659" s="42"/>
      <c r="M659" s="42"/>
      <c r="O659" s="42"/>
    </row>
    <row r="660" ht="14.25" customHeight="1">
      <c r="D660" s="42"/>
      <c r="E660" s="42"/>
      <c r="M660" s="42"/>
      <c r="O660" s="42"/>
    </row>
    <row r="661" ht="14.25" customHeight="1">
      <c r="D661" s="42"/>
      <c r="E661" s="42"/>
      <c r="M661" s="42"/>
      <c r="O661" s="42"/>
    </row>
    <row r="662" ht="14.25" customHeight="1">
      <c r="D662" s="42"/>
      <c r="E662" s="42"/>
      <c r="M662" s="42"/>
      <c r="O662" s="42"/>
    </row>
    <row r="663" ht="14.25" customHeight="1">
      <c r="D663" s="42"/>
      <c r="E663" s="42"/>
      <c r="M663" s="42"/>
      <c r="O663" s="42"/>
    </row>
    <row r="664" ht="14.25" customHeight="1">
      <c r="D664" s="42"/>
      <c r="E664" s="42"/>
      <c r="M664" s="42"/>
      <c r="O664" s="42"/>
    </row>
    <row r="665" ht="14.25" customHeight="1">
      <c r="D665" s="42"/>
      <c r="E665" s="42"/>
      <c r="M665" s="42"/>
      <c r="O665" s="42"/>
    </row>
    <row r="666" ht="14.25" customHeight="1">
      <c r="D666" s="42"/>
      <c r="E666" s="42"/>
      <c r="M666" s="42"/>
      <c r="O666" s="42"/>
    </row>
    <row r="667" ht="14.25" customHeight="1">
      <c r="D667" s="42"/>
      <c r="E667" s="42"/>
      <c r="M667" s="42"/>
      <c r="O667" s="42"/>
    </row>
    <row r="668" ht="14.25" customHeight="1">
      <c r="D668" s="42"/>
      <c r="E668" s="42"/>
      <c r="M668" s="42"/>
      <c r="O668" s="42"/>
    </row>
    <row r="669" ht="14.25" customHeight="1">
      <c r="D669" s="42"/>
      <c r="E669" s="42"/>
      <c r="M669" s="42"/>
      <c r="O669" s="42"/>
    </row>
    <row r="670" ht="14.25" customHeight="1">
      <c r="D670" s="42"/>
      <c r="E670" s="42"/>
      <c r="M670" s="42"/>
      <c r="O670" s="42"/>
    </row>
    <row r="671" ht="14.25" customHeight="1">
      <c r="D671" s="42"/>
      <c r="E671" s="42"/>
      <c r="M671" s="42"/>
      <c r="O671" s="42"/>
    </row>
    <row r="672" ht="14.25" customHeight="1">
      <c r="D672" s="42"/>
      <c r="E672" s="42"/>
      <c r="M672" s="42"/>
      <c r="O672" s="42"/>
    </row>
    <row r="673" ht="14.25" customHeight="1">
      <c r="D673" s="42"/>
      <c r="E673" s="42"/>
      <c r="M673" s="42"/>
      <c r="O673" s="42"/>
    </row>
    <row r="674" ht="14.25" customHeight="1">
      <c r="D674" s="42"/>
      <c r="E674" s="42"/>
      <c r="M674" s="42"/>
      <c r="O674" s="42"/>
    </row>
    <row r="675" ht="14.25" customHeight="1">
      <c r="D675" s="42"/>
      <c r="E675" s="42"/>
      <c r="M675" s="42"/>
      <c r="O675" s="42"/>
    </row>
    <row r="676" ht="14.25" customHeight="1">
      <c r="D676" s="42"/>
      <c r="E676" s="42"/>
      <c r="M676" s="42"/>
      <c r="O676" s="42"/>
    </row>
    <row r="677" ht="14.25" customHeight="1">
      <c r="D677" s="42"/>
      <c r="E677" s="42"/>
      <c r="M677" s="42"/>
      <c r="O677" s="42"/>
    </row>
    <row r="678" ht="14.25" customHeight="1">
      <c r="D678" s="42"/>
      <c r="E678" s="42"/>
      <c r="M678" s="42"/>
      <c r="O678" s="42"/>
    </row>
    <row r="679" ht="14.25" customHeight="1">
      <c r="D679" s="42"/>
      <c r="E679" s="42"/>
      <c r="M679" s="42"/>
      <c r="O679" s="42"/>
    </row>
    <row r="680" ht="14.25" customHeight="1">
      <c r="D680" s="42"/>
      <c r="E680" s="42"/>
      <c r="M680" s="42"/>
      <c r="O680" s="42"/>
    </row>
    <row r="681" ht="14.25" customHeight="1">
      <c r="D681" s="42"/>
      <c r="E681" s="42"/>
      <c r="M681" s="42"/>
      <c r="O681" s="42"/>
    </row>
    <row r="682" ht="14.25" customHeight="1">
      <c r="D682" s="42"/>
      <c r="E682" s="42"/>
      <c r="M682" s="42"/>
      <c r="O682" s="42"/>
    </row>
    <row r="683" ht="14.25" customHeight="1">
      <c r="D683" s="42"/>
      <c r="E683" s="42"/>
      <c r="M683" s="42"/>
      <c r="O683" s="42"/>
    </row>
    <row r="684" ht="14.25" customHeight="1">
      <c r="D684" s="42"/>
      <c r="E684" s="42"/>
      <c r="M684" s="42"/>
      <c r="O684" s="42"/>
    </row>
    <row r="685" ht="14.25" customHeight="1">
      <c r="D685" s="42"/>
      <c r="E685" s="42"/>
      <c r="M685" s="42"/>
      <c r="O685" s="42"/>
    </row>
    <row r="686" ht="14.25" customHeight="1">
      <c r="D686" s="42"/>
      <c r="E686" s="42"/>
      <c r="M686" s="42"/>
      <c r="O686" s="42"/>
    </row>
    <row r="687" ht="14.25" customHeight="1">
      <c r="D687" s="42"/>
      <c r="E687" s="42"/>
      <c r="M687" s="42"/>
      <c r="O687" s="42"/>
    </row>
    <row r="688" ht="14.25" customHeight="1">
      <c r="D688" s="42"/>
      <c r="E688" s="42"/>
      <c r="M688" s="42"/>
      <c r="O688" s="42"/>
    </row>
    <row r="689" ht="14.25" customHeight="1">
      <c r="D689" s="42"/>
      <c r="E689" s="42"/>
      <c r="M689" s="42"/>
      <c r="O689" s="42"/>
    </row>
    <row r="690" ht="14.25" customHeight="1">
      <c r="D690" s="42"/>
      <c r="E690" s="42"/>
      <c r="M690" s="42"/>
      <c r="O690" s="42"/>
    </row>
    <row r="691" ht="14.25" customHeight="1">
      <c r="D691" s="42"/>
      <c r="E691" s="42"/>
      <c r="M691" s="42"/>
      <c r="O691" s="42"/>
    </row>
    <row r="692" ht="14.25" customHeight="1">
      <c r="D692" s="42"/>
      <c r="E692" s="42"/>
      <c r="M692" s="42"/>
      <c r="O692" s="42"/>
    </row>
    <row r="693" ht="14.25" customHeight="1">
      <c r="D693" s="42"/>
      <c r="E693" s="42"/>
      <c r="M693" s="42"/>
      <c r="O693" s="42"/>
    </row>
    <row r="694" ht="14.25" customHeight="1">
      <c r="D694" s="42"/>
      <c r="E694" s="42"/>
      <c r="M694" s="42"/>
      <c r="O694" s="42"/>
    </row>
    <row r="695" ht="14.25" customHeight="1">
      <c r="D695" s="42"/>
      <c r="E695" s="42"/>
      <c r="M695" s="42"/>
      <c r="O695" s="42"/>
    </row>
    <row r="696" ht="14.25" customHeight="1">
      <c r="D696" s="42"/>
      <c r="E696" s="42"/>
      <c r="M696" s="42"/>
      <c r="O696" s="42"/>
    </row>
    <row r="697" ht="14.25" customHeight="1">
      <c r="D697" s="42"/>
      <c r="E697" s="42"/>
      <c r="M697" s="42"/>
      <c r="O697" s="42"/>
    </row>
    <row r="698" ht="14.25" customHeight="1">
      <c r="D698" s="42"/>
      <c r="E698" s="42"/>
      <c r="M698" s="42"/>
      <c r="O698" s="42"/>
    </row>
    <row r="699" ht="14.25" customHeight="1">
      <c r="D699" s="42"/>
      <c r="E699" s="42"/>
      <c r="M699" s="42"/>
      <c r="O699" s="42"/>
    </row>
    <row r="700" ht="14.25" customHeight="1">
      <c r="D700" s="42"/>
      <c r="E700" s="42"/>
      <c r="M700" s="42"/>
      <c r="O700" s="42"/>
    </row>
    <row r="701" ht="14.25" customHeight="1">
      <c r="D701" s="42"/>
      <c r="E701" s="42"/>
      <c r="M701" s="42"/>
      <c r="O701" s="42"/>
    </row>
    <row r="702" ht="14.25" customHeight="1">
      <c r="D702" s="42"/>
      <c r="E702" s="42"/>
      <c r="M702" s="42"/>
      <c r="O702" s="42"/>
    </row>
    <row r="703" ht="14.25" customHeight="1">
      <c r="D703" s="42"/>
      <c r="E703" s="42"/>
      <c r="M703" s="42"/>
      <c r="O703" s="42"/>
    </row>
    <row r="704" ht="14.25" customHeight="1">
      <c r="D704" s="42"/>
      <c r="E704" s="42"/>
      <c r="M704" s="42"/>
      <c r="O704" s="42"/>
    </row>
    <row r="705" ht="14.25" customHeight="1">
      <c r="D705" s="42"/>
      <c r="E705" s="42"/>
      <c r="M705" s="42"/>
      <c r="O705" s="42"/>
    </row>
    <row r="706" ht="14.25" customHeight="1">
      <c r="D706" s="42"/>
      <c r="E706" s="42"/>
      <c r="M706" s="42"/>
      <c r="O706" s="42"/>
    </row>
    <row r="707" ht="14.25" customHeight="1">
      <c r="D707" s="42"/>
      <c r="E707" s="42"/>
      <c r="M707" s="42"/>
      <c r="O707" s="42"/>
    </row>
    <row r="708" ht="14.25" customHeight="1">
      <c r="D708" s="42"/>
      <c r="E708" s="42"/>
      <c r="M708" s="42"/>
      <c r="O708" s="42"/>
    </row>
    <row r="709" ht="14.25" customHeight="1">
      <c r="D709" s="42"/>
      <c r="E709" s="42"/>
      <c r="M709" s="42"/>
      <c r="O709" s="42"/>
    </row>
    <row r="710" ht="14.25" customHeight="1">
      <c r="D710" s="42"/>
      <c r="E710" s="42"/>
      <c r="M710" s="42"/>
      <c r="O710" s="42"/>
    </row>
    <row r="711" ht="14.25" customHeight="1">
      <c r="D711" s="42"/>
      <c r="E711" s="42"/>
      <c r="M711" s="42"/>
      <c r="O711" s="42"/>
    </row>
    <row r="712" ht="14.25" customHeight="1">
      <c r="D712" s="42"/>
      <c r="E712" s="42"/>
      <c r="M712" s="42"/>
      <c r="O712" s="42"/>
    </row>
    <row r="713" ht="14.25" customHeight="1">
      <c r="D713" s="42"/>
      <c r="E713" s="42"/>
      <c r="M713" s="42"/>
      <c r="O713" s="42"/>
    </row>
    <row r="714" ht="14.25" customHeight="1">
      <c r="D714" s="42"/>
      <c r="E714" s="42"/>
      <c r="M714" s="42"/>
      <c r="O714" s="42"/>
    </row>
    <row r="715" ht="14.25" customHeight="1">
      <c r="D715" s="42"/>
      <c r="E715" s="42"/>
      <c r="M715" s="42"/>
      <c r="O715" s="42"/>
    </row>
    <row r="716" ht="14.25" customHeight="1">
      <c r="D716" s="42"/>
      <c r="E716" s="42"/>
      <c r="M716" s="42"/>
      <c r="O716" s="42"/>
    </row>
    <row r="717" ht="14.25" customHeight="1">
      <c r="D717" s="42"/>
      <c r="E717" s="42"/>
      <c r="M717" s="42"/>
      <c r="O717" s="42"/>
    </row>
    <row r="718" ht="14.25" customHeight="1">
      <c r="D718" s="42"/>
      <c r="E718" s="42"/>
      <c r="M718" s="42"/>
      <c r="O718" s="42"/>
    </row>
    <row r="719" ht="14.25" customHeight="1">
      <c r="D719" s="42"/>
      <c r="E719" s="42"/>
      <c r="M719" s="42"/>
      <c r="O719" s="42"/>
    </row>
    <row r="720" ht="14.25" customHeight="1">
      <c r="D720" s="42"/>
      <c r="E720" s="42"/>
      <c r="M720" s="42"/>
      <c r="O720" s="42"/>
    </row>
    <row r="721" ht="14.25" customHeight="1">
      <c r="D721" s="42"/>
      <c r="E721" s="42"/>
      <c r="M721" s="42"/>
      <c r="O721" s="42"/>
    </row>
    <row r="722" ht="14.25" customHeight="1">
      <c r="D722" s="42"/>
      <c r="E722" s="42"/>
      <c r="M722" s="42"/>
      <c r="O722" s="42"/>
    </row>
    <row r="723" ht="14.25" customHeight="1">
      <c r="D723" s="42"/>
      <c r="E723" s="42"/>
      <c r="M723" s="42"/>
      <c r="O723" s="42"/>
    </row>
    <row r="724" ht="14.25" customHeight="1">
      <c r="D724" s="42"/>
      <c r="E724" s="42"/>
      <c r="M724" s="42"/>
      <c r="O724" s="42"/>
    </row>
    <row r="725" ht="14.25" customHeight="1">
      <c r="D725" s="42"/>
      <c r="E725" s="42"/>
      <c r="M725" s="42"/>
      <c r="O725" s="42"/>
    </row>
    <row r="726" ht="14.25" customHeight="1">
      <c r="D726" s="42"/>
      <c r="E726" s="42"/>
      <c r="M726" s="42"/>
      <c r="O726" s="42"/>
    </row>
    <row r="727" ht="14.25" customHeight="1">
      <c r="D727" s="42"/>
      <c r="E727" s="42"/>
      <c r="M727" s="42"/>
      <c r="O727" s="42"/>
    </row>
    <row r="728" ht="14.25" customHeight="1">
      <c r="D728" s="42"/>
      <c r="E728" s="42"/>
      <c r="M728" s="42"/>
      <c r="O728" s="42"/>
    </row>
    <row r="729" ht="14.25" customHeight="1">
      <c r="D729" s="42"/>
      <c r="E729" s="42"/>
      <c r="M729" s="42"/>
      <c r="O729" s="42"/>
    </row>
    <row r="730" ht="14.25" customHeight="1">
      <c r="D730" s="42"/>
      <c r="E730" s="42"/>
      <c r="M730" s="42"/>
      <c r="O730" s="42"/>
    </row>
    <row r="731" ht="14.25" customHeight="1">
      <c r="D731" s="42"/>
      <c r="E731" s="42"/>
      <c r="M731" s="42"/>
      <c r="O731" s="42"/>
    </row>
    <row r="732" ht="14.25" customHeight="1">
      <c r="D732" s="42"/>
      <c r="E732" s="42"/>
      <c r="M732" s="42"/>
      <c r="O732" s="42"/>
    </row>
    <row r="733" ht="14.25" customHeight="1">
      <c r="D733" s="42"/>
      <c r="E733" s="42"/>
      <c r="M733" s="42"/>
      <c r="O733" s="42"/>
    </row>
    <row r="734" ht="14.25" customHeight="1">
      <c r="D734" s="42"/>
      <c r="E734" s="42"/>
      <c r="M734" s="42"/>
      <c r="O734" s="42"/>
    </row>
    <row r="735" ht="14.25" customHeight="1">
      <c r="D735" s="42"/>
      <c r="E735" s="42"/>
      <c r="M735" s="42"/>
      <c r="O735" s="42"/>
    </row>
    <row r="736" ht="14.25" customHeight="1">
      <c r="D736" s="42"/>
      <c r="E736" s="42"/>
      <c r="M736" s="42"/>
      <c r="O736" s="42"/>
    </row>
    <row r="737" ht="14.25" customHeight="1">
      <c r="D737" s="42"/>
      <c r="E737" s="42"/>
      <c r="M737" s="42"/>
      <c r="O737" s="42"/>
    </row>
    <row r="738" ht="14.25" customHeight="1">
      <c r="D738" s="42"/>
      <c r="E738" s="42"/>
      <c r="M738" s="42"/>
      <c r="O738" s="42"/>
    </row>
    <row r="739" ht="14.25" customHeight="1">
      <c r="D739" s="42"/>
      <c r="E739" s="42"/>
      <c r="M739" s="42"/>
      <c r="O739" s="42"/>
    </row>
    <row r="740" ht="14.25" customHeight="1">
      <c r="D740" s="42"/>
      <c r="E740" s="42"/>
      <c r="M740" s="42"/>
      <c r="O740" s="42"/>
    </row>
    <row r="741" ht="14.25" customHeight="1">
      <c r="D741" s="42"/>
      <c r="E741" s="42"/>
      <c r="M741" s="42"/>
      <c r="O741" s="42"/>
    </row>
    <row r="742" ht="14.25" customHeight="1">
      <c r="D742" s="42"/>
      <c r="E742" s="42"/>
      <c r="M742" s="42"/>
      <c r="O742" s="42"/>
    </row>
    <row r="743" ht="14.25" customHeight="1">
      <c r="D743" s="42"/>
      <c r="E743" s="42"/>
      <c r="M743" s="42"/>
      <c r="O743" s="42"/>
    </row>
    <row r="744" ht="14.25" customHeight="1">
      <c r="D744" s="42"/>
      <c r="E744" s="42"/>
      <c r="M744" s="42"/>
      <c r="O744" s="42"/>
    </row>
    <row r="745" ht="14.25" customHeight="1">
      <c r="D745" s="42"/>
      <c r="E745" s="42"/>
      <c r="M745" s="42"/>
      <c r="O745" s="42"/>
    </row>
    <row r="746" ht="14.25" customHeight="1">
      <c r="D746" s="42"/>
      <c r="E746" s="42"/>
      <c r="M746" s="42"/>
      <c r="O746" s="42"/>
    </row>
    <row r="747" ht="14.25" customHeight="1">
      <c r="D747" s="42"/>
      <c r="E747" s="42"/>
      <c r="M747" s="42"/>
      <c r="O747" s="42"/>
    </row>
    <row r="748" ht="14.25" customHeight="1">
      <c r="D748" s="42"/>
      <c r="E748" s="42"/>
      <c r="M748" s="42"/>
      <c r="O748" s="42"/>
    </row>
    <row r="749" ht="14.25" customHeight="1">
      <c r="D749" s="42"/>
      <c r="E749" s="42"/>
      <c r="M749" s="42"/>
      <c r="O749" s="42"/>
    </row>
    <row r="750" ht="14.25" customHeight="1">
      <c r="D750" s="42"/>
      <c r="E750" s="42"/>
      <c r="M750" s="42"/>
      <c r="O750" s="42"/>
    </row>
    <row r="751" ht="14.25" customHeight="1">
      <c r="D751" s="42"/>
      <c r="E751" s="42"/>
      <c r="M751" s="42"/>
      <c r="O751" s="42"/>
    </row>
    <row r="752" ht="14.25" customHeight="1">
      <c r="D752" s="42"/>
      <c r="E752" s="42"/>
      <c r="M752" s="42"/>
      <c r="O752" s="42"/>
    </row>
    <row r="753" ht="14.25" customHeight="1">
      <c r="D753" s="42"/>
      <c r="E753" s="42"/>
      <c r="M753" s="42"/>
      <c r="O753" s="42"/>
    </row>
    <row r="754" ht="14.25" customHeight="1">
      <c r="D754" s="42"/>
      <c r="E754" s="42"/>
      <c r="M754" s="42"/>
      <c r="O754" s="42"/>
    </row>
    <row r="755" ht="14.25" customHeight="1">
      <c r="D755" s="42"/>
      <c r="E755" s="42"/>
      <c r="M755" s="42"/>
      <c r="O755" s="42"/>
    </row>
    <row r="756" ht="14.25" customHeight="1">
      <c r="D756" s="42"/>
      <c r="E756" s="42"/>
      <c r="M756" s="42"/>
      <c r="O756" s="42"/>
    </row>
    <row r="757" ht="14.25" customHeight="1">
      <c r="D757" s="42"/>
      <c r="E757" s="42"/>
      <c r="M757" s="42"/>
      <c r="O757" s="42"/>
    </row>
    <row r="758" ht="14.25" customHeight="1">
      <c r="D758" s="42"/>
      <c r="E758" s="42"/>
      <c r="M758" s="42"/>
      <c r="O758" s="42"/>
    </row>
    <row r="759" ht="14.25" customHeight="1">
      <c r="D759" s="42"/>
      <c r="E759" s="42"/>
      <c r="M759" s="42"/>
      <c r="O759" s="42"/>
    </row>
    <row r="760" ht="14.25" customHeight="1">
      <c r="D760" s="42"/>
      <c r="E760" s="42"/>
      <c r="M760" s="42"/>
      <c r="O760" s="42"/>
    </row>
    <row r="761" ht="14.25" customHeight="1">
      <c r="D761" s="42"/>
      <c r="E761" s="42"/>
      <c r="M761" s="42"/>
      <c r="O761" s="42"/>
    </row>
    <row r="762" ht="14.25" customHeight="1">
      <c r="D762" s="42"/>
      <c r="E762" s="42"/>
      <c r="M762" s="42"/>
      <c r="O762" s="42"/>
    </row>
    <row r="763" ht="14.25" customHeight="1">
      <c r="D763" s="42"/>
      <c r="E763" s="42"/>
      <c r="M763" s="42"/>
      <c r="O763" s="42"/>
    </row>
    <row r="764" ht="14.25" customHeight="1">
      <c r="D764" s="42"/>
      <c r="E764" s="42"/>
      <c r="M764" s="42"/>
      <c r="O764" s="42"/>
    </row>
    <row r="765" ht="14.25" customHeight="1">
      <c r="D765" s="42"/>
      <c r="E765" s="42"/>
      <c r="M765" s="42"/>
      <c r="O765" s="42"/>
    </row>
    <row r="766" ht="14.25" customHeight="1">
      <c r="D766" s="42"/>
      <c r="E766" s="42"/>
      <c r="M766" s="42"/>
      <c r="O766" s="42"/>
    </row>
    <row r="767" ht="14.25" customHeight="1">
      <c r="D767" s="42"/>
      <c r="E767" s="42"/>
      <c r="M767" s="42"/>
      <c r="O767" s="42"/>
    </row>
    <row r="768" ht="14.25" customHeight="1">
      <c r="D768" s="42"/>
      <c r="E768" s="42"/>
      <c r="M768" s="42"/>
      <c r="O768" s="42"/>
    </row>
    <row r="769" ht="14.25" customHeight="1">
      <c r="D769" s="42"/>
      <c r="E769" s="42"/>
      <c r="M769" s="42"/>
      <c r="O769" s="42"/>
    </row>
    <row r="770">
      <c r="D770" s="42"/>
    </row>
    <row r="771">
      <c r="D771" s="42"/>
    </row>
    <row r="772">
      <c r="D772" s="42"/>
    </row>
    <row r="773">
      <c r="D773" s="42"/>
    </row>
    <row r="774">
      <c r="D774" s="42"/>
    </row>
    <row r="775">
      <c r="D775" s="42"/>
    </row>
    <row r="776">
      <c r="D776" s="42"/>
    </row>
    <row r="777">
      <c r="D777" s="42"/>
    </row>
    <row r="778">
      <c r="D778" s="42"/>
    </row>
    <row r="779">
      <c r="D779" s="42"/>
    </row>
    <row r="780">
      <c r="D780" s="42"/>
    </row>
    <row r="781">
      <c r="D781" s="42"/>
    </row>
    <row r="782">
      <c r="D782" s="42"/>
    </row>
    <row r="783">
      <c r="D783" s="42"/>
    </row>
    <row r="784">
      <c r="D784" s="42"/>
    </row>
    <row r="785">
      <c r="D785" s="42"/>
    </row>
    <row r="786">
      <c r="D786" s="42"/>
    </row>
    <row r="787">
      <c r="D787" s="42"/>
    </row>
    <row r="788">
      <c r="D788" s="42"/>
    </row>
    <row r="789">
      <c r="D789" s="42"/>
    </row>
    <row r="790">
      <c r="D790" s="42"/>
    </row>
    <row r="791">
      <c r="D791" s="42"/>
    </row>
    <row r="792">
      <c r="D792" s="42"/>
    </row>
    <row r="793">
      <c r="D793" s="42"/>
    </row>
    <row r="794">
      <c r="D794" s="42"/>
    </row>
    <row r="795">
      <c r="D795" s="42"/>
    </row>
    <row r="796">
      <c r="D796" s="42"/>
    </row>
    <row r="797">
      <c r="D797" s="42"/>
    </row>
    <row r="798">
      <c r="D798" s="42"/>
    </row>
    <row r="799">
      <c r="D799" s="42"/>
    </row>
    <row r="800">
      <c r="D800" s="42"/>
    </row>
    <row r="801">
      <c r="D801" s="42"/>
    </row>
    <row r="802">
      <c r="D802" s="42"/>
    </row>
    <row r="803">
      <c r="D803" s="42"/>
    </row>
    <row r="804">
      <c r="D804" s="42"/>
    </row>
    <row r="805">
      <c r="D805" s="42"/>
    </row>
    <row r="806">
      <c r="D806" s="42"/>
    </row>
    <row r="807">
      <c r="D807" s="42"/>
    </row>
    <row r="808">
      <c r="D808" s="42"/>
    </row>
    <row r="809">
      <c r="D809" s="42"/>
    </row>
    <row r="810">
      <c r="D810" s="42"/>
    </row>
    <row r="811">
      <c r="D811" s="42"/>
    </row>
    <row r="812">
      <c r="D812" s="42"/>
    </row>
    <row r="813">
      <c r="D813" s="42"/>
    </row>
    <row r="814">
      <c r="D814" s="42"/>
    </row>
    <row r="815">
      <c r="D815" s="42"/>
    </row>
    <row r="816">
      <c r="D816" s="42"/>
    </row>
    <row r="817">
      <c r="D817" s="42"/>
    </row>
    <row r="818">
      <c r="D818" s="42"/>
    </row>
    <row r="819">
      <c r="D819" s="42"/>
    </row>
    <row r="820">
      <c r="D820" s="42"/>
    </row>
    <row r="821">
      <c r="D821" s="42"/>
    </row>
  </sheetData>
  <autoFilter ref="$A$1:$P$48">
    <sortState ref="A1:P48">
      <sortCondition ref="C1:C48"/>
    </sortState>
  </autoFilter>
  <conditionalFormatting sqref="B1 B104:B821">
    <cfRule type="expression" dxfId="1" priority="1">
      <formula>COUNTIF($B:$B,$B1)&gt;1</formula>
    </cfRule>
  </conditionalFormatting>
  <conditionalFormatting sqref="A1 A104:A821">
    <cfRule type="expression" dxfId="2" priority="2">
      <formula>COUNTIF($A:$A,$A1)&gt;1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7" max="7" width="11.29"/>
  </cols>
  <sheetData>
    <row r="1">
      <c r="A1" s="12" t="s">
        <v>6</v>
      </c>
      <c r="B1" s="12" t="s">
        <v>0</v>
      </c>
      <c r="C1" s="12" t="s">
        <v>1321</v>
      </c>
      <c r="D1" s="12" t="s">
        <v>1322</v>
      </c>
      <c r="E1" s="12" t="s">
        <v>1323</v>
      </c>
      <c r="F1" s="12" t="s">
        <v>1324</v>
      </c>
      <c r="G1" s="12" t="s">
        <v>1325</v>
      </c>
      <c r="H1" s="12">
        <v>24.514557</v>
      </c>
      <c r="I1" s="12">
        <v>54.375854</v>
      </c>
      <c r="J1" s="12">
        <v>24.4907523</v>
      </c>
      <c r="K1" s="12">
        <v>54.4000173</v>
      </c>
      <c r="L1" s="43" t="s">
        <v>1122</v>
      </c>
      <c r="M1" s="12">
        <v>24.514557</v>
      </c>
      <c r="N1" s="12">
        <v>54.375854</v>
      </c>
      <c r="O1" s="43" t="s">
        <v>1326</v>
      </c>
    </row>
    <row r="2">
      <c r="A2" s="46" t="str">
        <f>IFERROR(VLOOKUP(B2, DataBase!A:O, 7, FALSE), "No Order Found")</f>
        <v>https://www.google.com/maps?q=24.488376387234172,54.36703744083892</v>
      </c>
      <c r="B2" s="44" t="str">
        <f>AlFayoumi!B5</f>
        <v>C1768653088625</v>
      </c>
      <c r="C2" s="44" t="str">
        <f>IFERROR(VLOOKUP(B2, DataBase!A:O, 2, FALSE), "No Order Found")</f>
        <v>Jasmine Behery</v>
      </c>
      <c r="D2" s="12">
        <f t="shared" ref="D2:D83" si="1">VALUE(TRIM(LEFT(RIGHT(A2,LEN(A2)-FIND("=",A2)),FIND(",",RIGHT(A2,LEN(A2)-FIND("=",A2)))-1)))</f>
        <v>24.48837639</v>
      </c>
      <c r="E2" s="12">
        <f t="shared" ref="E2:E83" si="2">VALUE(TRIM(RIGHT(A2,LEN(A2)-FIND(",",A2))))</f>
        <v>54.36703744</v>
      </c>
      <c r="F2" s="44">
        <f t="shared" ref="F2:F83" si="3">IFERROR(ACOS(SIN(RADIANS($H$1))*SIN(RADIANS(D2))+COS(RADIANS($H$1))*COS(RADIANS(D2))*COS(RADIANS(E2)-RADIANS($I$1)))*6371,"")</f>
        <v>3.044766305</v>
      </c>
      <c r="G2" s="19">
        <v>1.0</v>
      </c>
    </row>
    <row r="3">
      <c r="A3" s="46" t="str">
        <f>IFERROR(VLOOKUP(B3, DataBase!A:O, 7, FALSE), "No Order Found")</f>
        <v>https://www.google.com/maps?q=24.476906066431106,54.367972972393915</v>
      </c>
      <c r="B3" s="44" t="str">
        <f>AlFayoumi!B2</f>
        <v>C1776884700619</v>
      </c>
      <c r="C3" s="44" t="str">
        <f>IFERROR(VLOOKUP(B3, DataBase!A:O, 2, FALSE), "No Order Found")</f>
        <v>ملك عمرو</v>
      </c>
      <c r="D3" s="12">
        <f t="shared" si="1"/>
        <v>24.47690607</v>
      </c>
      <c r="E3" s="12">
        <f t="shared" si="2"/>
        <v>54.36797297</v>
      </c>
      <c r="F3" s="44">
        <f t="shared" si="3"/>
        <v>4.261864803</v>
      </c>
      <c r="G3" s="19">
        <v>2.0</v>
      </c>
      <c r="J3" s="43"/>
    </row>
    <row r="4">
      <c r="A4" s="46" t="str">
        <f>IFERROR(VLOOKUP(B4, DataBase!A:O, 7, FALSE), "No Order Found")</f>
        <v>https://www.google.com/maps?q=24.4839877,54.3736343</v>
      </c>
      <c r="B4" s="44" t="str">
        <f>AlFayoumi!B8</f>
        <v>C1778243253026</v>
      </c>
      <c r="C4" s="44" t="str">
        <f>IFERROR(VLOOKUP(B4, DataBase!A:O, 2, FALSE), "No Order Found")</f>
        <v>دعاء صالح</v>
      </c>
      <c r="D4" s="12">
        <f t="shared" si="1"/>
        <v>24.4839877</v>
      </c>
      <c r="E4" s="12">
        <f t="shared" si="2"/>
        <v>54.3736343</v>
      </c>
      <c r="F4" s="44">
        <f t="shared" si="3"/>
        <v>3.406563076</v>
      </c>
      <c r="G4" s="19">
        <v>3.0</v>
      </c>
      <c r="J4" s="43"/>
    </row>
    <row r="5">
      <c r="A5" s="46" t="str">
        <f>IFERROR(VLOOKUP(B5, DataBase!A:O, 7, FALSE), "No Order Found")</f>
        <v>https://www.google.com/maps?q=24.4907523,54.4000173</v>
      </c>
      <c r="B5" s="44" t="str">
        <f>AlFayoumi!B7</f>
        <v>C1769324778781</v>
      </c>
      <c r="C5" s="44" t="str">
        <f>IFERROR(VLOOKUP(B5, DataBase!A:O, 2, FALSE), "No Order Found")</f>
        <v>Eman Elkoumy</v>
      </c>
      <c r="D5" s="12">
        <f t="shared" si="1"/>
        <v>24.4907523</v>
      </c>
      <c r="E5" s="12">
        <f t="shared" si="2"/>
        <v>54.4000173</v>
      </c>
      <c r="F5" s="44">
        <f t="shared" si="3"/>
        <v>3.603300414</v>
      </c>
      <c r="G5" s="19">
        <v>4.0</v>
      </c>
    </row>
    <row r="6">
      <c r="A6" s="46" t="str">
        <f>IFERROR(VLOOKUP(B6, DataBase!A:O, 7, FALSE), "No Order Found")</f>
        <v>https://www.google.com/maps?q=24.413685,54.495136</v>
      </c>
      <c r="B6" s="44" t="str">
        <f>AlFayoumi!B12</f>
        <v>C1776633916549</v>
      </c>
      <c r="C6" s="44" t="str">
        <f>IFERROR(VLOOKUP(B6, DataBase!A:O, 2, FALSE), "No Order Found")</f>
        <v>Aya</v>
      </c>
      <c r="D6" s="12">
        <f t="shared" si="1"/>
        <v>24.413685</v>
      </c>
      <c r="E6" s="12">
        <f t="shared" si="2"/>
        <v>54.495136</v>
      </c>
      <c r="F6" s="44">
        <f t="shared" si="3"/>
        <v>16.47908858</v>
      </c>
      <c r="G6" s="19">
        <v>5.0</v>
      </c>
    </row>
    <row r="7">
      <c r="A7" s="46" t="str">
        <f>IFERROR(VLOOKUP(B7, DataBase!A:O, 7, FALSE), "No Order Found")</f>
        <v>https://www.google.com/maps?q=24.405996821373577,54.517312166606</v>
      </c>
      <c r="B7" s="44" t="str">
        <f>AlFayoumi!B6</f>
        <v>C1778325015999</v>
      </c>
      <c r="C7" s="44" t="str">
        <f>IFERROR(VLOOKUP(B7, DataBase!A:O, 2, FALSE), "No Order Found")</f>
        <v>Esraa Elwakel</v>
      </c>
      <c r="D7" s="12">
        <f t="shared" si="1"/>
        <v>24.40599682</v>
      </c>
      <c r="E7" s="12">
        <f t="shared" si="2"/>
        <v>54.51731217</v>
      </c>
      <c r="F7" s="44">
        <f t="shared" si="3"/>
        <v>18.72734487</v>
      </c>
      <c r="G7" s="19">
        <v>6.0</v>
      </c>
    </row>
    <row r="8">
      <c r="A8" s="46" t="str">
        <f>IFERROR(VLOOKUP(B8, DataBase!A:O, 7, FALSE), "No Order Found")</f>
        <v>https://www.google.com/maps?q=24.4018107,54.519146</v>
      </c>
      <c r="B8" s="44" t="str">
        <f>AlFayoumi!B9</f>
        <v>C1776515849146</v>
      </c>
      <c r="C8" s="44" t="str">
        <f>IFERROR(VLOOKUP(B8, DataBase!A:O, 2, FALSE), "No Order Found")</f>
        <v>هاجر محمد</v>
      </c>
      <c r="D8" s="12">
        <f t="shared" si="1"/>
        <v>24.4018107</v>
      </c>
      <c r="E8" s="12">
        <f t="shared" si="2"/>
        <v>54.519146</v>
      </c>
      <c r="F8" s="44">
        <f t="shared" si="3"/>
        <v>19.17092658</v>
      </c>
      <c r="G8" s="19">
        <v>7.0</v>
      </c>
    </row>
    <row r="9">
      <c r="A9" s="46" t="str">
        <f>IFERROR(VLOOKUP(B9, DataBase!A:O, 7, FALSE), "No Order Found")</f>
        <v>https://www.google.com/maps?q=24.396056135766734,54.5660779698686</v>
      </c>
      <c r="B9" s="44" t="str">
        <f>AlFayoumi!B11</f>
        <v>C1768655293606</v>
      </c>
      <c r="C9" s="44" t="str">
        <f>IFERROR(VLOOKUP(B9, DataBase!A:O, 2, FALSE), "No Order Found")</f>
        <v>Naglaa Eslam</v>
      </c>
      <c r="D9" s="12">
        <f t="shared" si="1"/>
        <v>24.39605614</v>
      </c>
      <c r="E9" s="12">
        <f t="shared" si="2"/>
        <v>54.56607797</v>
      </c>
      <c r="F9" s="44">
        <f t="shared" si="3"/>
        <v>23.33136145</v>
      </c>
      <c r="G9" s="19">
        <v>8.0</v>
      </c>
    </row>
    <row r="10">
      <c r="A10" s="46" t="str">
        <f>IFERROR(VLOOKUP(B10, DataBase!A:O, 7, FALSE), "No Order Found")</f>
        <v>https://www.google.com/maps?q=24.3795837,54.6433836</v>
      </c>
      <c r="B10" s="44" t="str">
        <f>AlFayoumi!B10</f>
        <v>C1770412918700</v>
      </c>
      <c r="C10" s="44" t="str">
        <f>IFERROR(VLOOKUP(B10, DataBase!A:O, 2, FALSE), "No Order Found")</f>
        <v>Heba Motawea</v>
      </c>
      <c r="D10" s="12">
        <f t="shared" si="1"/>
        <v>24.3795837</v>
      </c>
      <c r="E10" s="12">
        <f t="shared" si="2"/>
        <v>54.6433836</v>
      </c>
      <c r="F10" s="44">
        <f t="shared" si="3"/>
        <v>30.96162562</v>
      </c>
      <c r="G10" s="19">
        <v>9.0</v>
      </c>
    </row>
    <row r="11">
      <c r="A11" s="46" t="str">
        <f>IFERROR(VLOOKUP(B11, DataBase!A:O, 7, FALSE), "No Order Found")</f>
        <v>https://www.google.com/maps?q=24.32160286901728,54.62401405136186</v>
      </c>
      <c r="B11" s="44" t="str">
        <f>AlFayoumi!B4</f>
        <v>C1778181837755</v>
      </c>
      <c r="C11" s="44" t="str">
        <f>IFERROR(VLOOKUP(B11, DataBase!A:O, 2, FALSE), "No Order Found")</f>
        <v>هاجر السيد</v>
      </c>
      <c r="D11" s="12">
        <f t="shared" si="1"/>
        <v>24.32160287</v>
      </c>
      <c r="E11" s="12">
        <f t="shared" si="2"/>
        <v>54.62401405</v>
      </c>
      <c r="F11" s="44">
        <f t="shared" si="3"/>
        <v>33.04013814</v>
      </c>
      <c r="G11" s="19">
        <v>10.0</v>
      </c>
    </row>
    <row r="12">
      <c r="A12" s="46" t="str">
        <f>IFERROR(VLOOKUP(B12, DataBase!A:O, 7, FALSE), "No Order Found")</f>
        <v>https://www.google.com/maps?q=24.333568155473717,54.71084769152754</v>
      </c>
      <c r="B12" s="44" t="str">
        <f>AlFayoumi!B3</f>
        <v>C1779191613438</v>
      </c>
      <c r="C12" s="44" t="str">
        <f>IFERROR(VLOOKUP(B12, DataBase!A:O, 2, FALSE), "No Order Found")</f>
        <v>ساره ذكى</v>
      </c>
      <c r="D12" s="12">
        <f t="shared" si="1"/>
        <v>24.33356816</v>
      </c>
      <c r="E12" s="12">
        <f t="shared" si="2"/>
        <v>54.71084769</v>
      </c>
      <c r="F12" s="44">
        <f t="shared" si="3"/>
        <v>39.4375384</v>
      </c>
      <c r="G12" s="19">
        <v>11.0</v>
      </c>
    </row>
    <row r="13">
      <c r="A13" s="44" t="str">
        <f>IFERROR(VLOOKUP(B13, DataBase!A:O, 7, FALSE), "No Order Found")</f>
        <v>No Order Found</v>
      </c>
      <c r="B13" s="44" t="str">
        <f>AlFayoumi!B13</f>
        <v/>
      </c>
      <c r="C13" s="44" t="str">
        <f>IFERROR(VLOOKUP(B13, DataBase!A:O, 2, FALSE), "No Order Found")</f>
        <v>No Order Found</v>
      </c>
      <c r="D13" s="12" t="str">
        <f t="shared" si="1"/>
        <v>#VALUE!</v>
      </c>
      <c r="E13" s="12" t="str">
        <f t="shared" si="2"/>
        <v>#VALUE!</v>
      </c>
      <c r="F13" s="44" t="str">
        <f t="shared" si="3"/>
        <v/>
      </c>
      <c r="G13" s="19"/>
    </row>
    <row r="14">
      <c r="A14" s="44" t="str">
        <f>IFERROR(VLOOKUP(B14, DataBase!A:O, 7, FALSE), "No Order Found")</f>
        <v>No Order Found</v>
      </c>
      <c r="B14" s="44" t="str">
        <f>AlFayoumi!B14</f>
        <v/>
      </c>
      <c r="C14" s="44" t="str">
        <f>IFERROR(VLOOKUP(B14, DataBase!A:O, 2, FALSE), "No Order Found")</f>
        <v>No Order Found</v>
      </c>
      <c r="D14" s="12" t="str">
        <f t="shared" si="1"/>
        <v>#VALUE!</v>
      </c>
      <c r="E14" s="12" t="str">
        <f t="shared" si="2"/>
        <v>#VALUE!</v>
      </c>
      <c r="F14" s="44" t="str">
        <f t="shared" si="3"/>
        <v/>
      </c>
      <c r="G14" s="19"/>
    </row>
    <row r="15">
      <c r="A15" s="44" t="str">
        <f>IFERROR(VLOOKUP(B15, DataBase!A:O, 7, FALSE), "No Order Found")</f>
        <v>No Order Found</v>
      </c>
      <c r="B15" s="44" t="str">
        <f>AlFayoumi!B15</f>
        <v/>
      </c>
      <c r="C15" s="44" t="str">
        <f>IFERROR(VLOOKUP(B15, DataBase!A:O, 2, FALSE), "No Order Found")</f>
        <v>No Order Found</v>
      </c>
      <c r="D15" s="12" t="str">
        <f t="shared" si="1"/>
        <v>#VALUE!</v>
      </c>
      <c r="E15" s="12" t="str">
        <f t="shared" si="2"/>
        <v>#VALUE!</v>
      </c>
      <c r="F15" s="44" t="str">
        <f t="shared" si="3"/>
        <v/>
      </c>
      <c r="G15" s="19"/>
    </row>
    <row r="16">
      <c r="A16" s="44" t="str">
        <f>IFERROR(VLOOKUP(B16, DataBase!A:O, 7, FALSE), "No Order Found")</f>
        <v>No Order Found</v>
      </c>
      <c r="B16" s="44" t="str">
        <f>AlFayoumi!B16</f>
        <v/>
      </c>
      <c r="C16" s="44" t="str">
        <f>IFERROR(VLOOKUP(B16, DataBase!A:O, 2, FALSE), "No Order Found")</f>
        <v>No Order Found</v>
      </c>
      <c r="D16" s="12" t="str">
        <f t="shared" si="1"/>
        <v>#VALUE!</v>
      </c>
      <c r="E16" s="12" t="str">
        <f t="shared" si="2"/>
        <v>#VALUE!</v>
      </c>
      <c r="F16" s="44" t="str">
        <f t="shared" si="3"/>
        <v/>
      </c>
      <c r="G16" s="19"/>
    </row>
    <row r="17">
      <c r="A17" s="44" t="str">
        <f>IFERROR(VLOOKUP(B17, DataBase!A:O, 7, FALSE), "No Order Found")</f>
        <v>No Order Found</v>
      </c>
      <c r="B17" s="44" t="str">
        <f>AlFayoumi!B17</f>
        <v/>
      </c>
      <c r="C17" s="44" t="str">
        <f>IFERROR(VLOOKUP(B17, DataBase!A:O, 2, FALSE), "No Order Found")</f>
        <v>No Order Found</v>
      </c>
      <c r="D17" s="12" t="str">
        <f t="shared" si="1"/>
        <v>#VALUE!</v>
      </c>
      <c r="E17" s="12" t="str">
        <f t="shared" si="2"/>
        <v>#VALUE!</v>
      </c>
      <c r="F17" s="44" t="str">
        <f t="shared" si="3"/>
        <v/>
      </c>
      <c r="G17" s="19"/>
    </row>
    <row r="18">
      <c r="A18" s="44" t="str">
        <f>IFERROR(VLOOKUP(B18, DataBase!A:O, 7, FALSE), "No Order Found")</f>
        <v>No Order Found</v>
      </c>
      <c r="B18" s="44" t="str">
        <f>AlFayoumi!B18</f>
        <v/>
      </c>
      <c r="C18" s="44" t="str">
        <f>IFERROR(VLOOKUP(B18, DataBase!A:O, 2, FALSE), "No Order Found")</f>
        <v>No Order Found</v>
      </c>
      <c r="D18" s="12" t="str">
        <f t="shared" si="1"/>
        <v>#VALUE!</v>
      </c>
      <c r="E18" s="12" t="str">
        <f t="shared" si="2"/>
        <v>#VALUE!</v>
      </c>
      <c r="F18" s="44" t="str">
        <f t="shared" si="3"/>
        <v/>
      </c>
      <c r="G18" s="19"/>
    </row>
    <row r="19">
      <c r="A19" s="44" t="str">
        <f>IFERROR(VLOOKUP(B19, DataBase!A:O, 7, FALSE), "No Order Found")</f>
        <v>No Order Found</v>
      </c>
      <c r="B19" s="44" t="str">
        <f>AlFayoumi!B19</f>
        <v/>
      </c>
      <c r="C19" s="44" t="str">
        <f>IFERROR(VLOOKUP(B19, DataBase!A:O, 2, FALSE), "No Order Found")</f>
        <v>No Order Found</v>
      </c>
      <c r="D19" s="12" t="str">
        <f t="shared" si="1"/>
        <v>#VALUE!</v>
      </c>
      <c r="E19" s="12" t="str">
        <f t="shared" si="2"/>
        <v>#VALUE!</v>
      </c>
      <c r="F19" s="44" t="str">
        <f t="shared" si="3"/>
        <v/>
      </c>
      <c r="G19" s="19"/>
    </row>
    <row r="20">
      <c r="A20" s="44" t="str">
        <f>IFERROR(VLOOKUP(B20, DataBase!A:O, 7, FALSE), "No Order Found")</f>
        <v>No Order Found</v>
      </c>
      <c r="B20" s="44" t="str">
        <f>AlFayoumi!B20</f>
        <v/>
      </c>
      <c r="C20" s="44" t="str">
        <f>IFERROR(VLOOKUP(B20, DataBase!A:O, 2, FALSE), "No Order Found")</f>
        <v>No Order Found</v>
      </c>
      <c r="D20" s="12" t="str">
        <f t="shared" si="1"/>
        <v>#VALUE!</v>
      </c>
      <c r="E20" s="12" t="str">
        <f t="shared" si="2"/>
        <v>#VALUE!</v>
      </c>
      <c r="F20" s="44" t="str">
        <f t="shared" si="3"/>
        <v/>
      </c>
      <c r="G20" s="19"/>
    </row>
    <row r="21">
      <c r="A21" s="44" t="str">
        <f>IFERROR(VLOOKUP(B21, DataBase!A:O, 7, FALSE), "No Order Found")</f>
        <v>No Order Found</v>
      </c>
      <c r="B21" s="44" t="str">
        <f>AlFayoumi!B21</f>
        <v/>
      </c>
      <c r="C21" s="44" t="str">
        <f>IFERROR(VLOOKUP(B21, DataBase!A:O, 2, FALSE), "No Order Found")</f>
        <v>No Order Found</v>
      </c>
      <c r="D21" s="12" t="str">
        <f t="shared" si="1"/>
        <v>#VALUE!</v>
      </c>
      <c r="E21" s="12" t="str">
        <f t="shared" si="2"/>
        <v>#VALUE!</v>
      </c>
      <c r="F21" s="44" t="str">
        <f t="shared" si="3"/>
        <v/>
      </c>
      <c r="G21" s="19"/>
    </row>
    <row r="22">
      <c r="A22" s="44" t="str">
        <f>IFERROR(VLOOKUP(B22, DataBase!A:O, 7, FALSE), "No Order Found")</f>
        <v>No Order Found</v>
      </c>
      <c r="B22" s="44" t="str">
        <f>AlFayoumi!B22</f>
        <v/>
      </c>
      <c r="C22" s="44" t="str">
        <f>IFERROR(VLOOKUP(B22, DataBase!A:O, 2, FALSE), "No Order Found")</f>
        <v>No Order Found</v>
      </c>
      <c r="D22" s="12" t="str">
        <f t="shared" si="1"/>
        <v>#VALUE!</v>
      </c>
      <c r="E22" s="12" t="str">
        <f t="shared" si="2"/>
        <v>#VALUE!</v>
      </c>
      <c r="F22" s="44" t="str">
        <f t="shared" si="3"/>
        <v/>
      </c>
      <c r="G22" s="19"/>
    </row>
    <row r="23">
      <c r="A23" s="44" t="str">
        <f>IFERROR(VLOOKUP(B23, DataBase!A:O, 7, FALSE), "No Order Found")</f>
        <v>No Order Found</v>
      </c>
      <c r="B23" s="44" t="str">
        <f>AlFayoumi!B23</f>
        <v/>
      </c>
      <c r="C23" s="44" t="str">
        <f>IFERROR(VLOOKUP(B23, DataBase!A:O, 2, FALSE), "No Order Found")</f>
        <v>No Order Found</v>
      </c>
      <c r="D23" s="12" t="str">
        <f t="shared" si="1"/>
        <v>#VALUE!</v>
      </c>
      <c r="E23" s="12" t="str">
        <f t="shared" si="2"/>
        <v>#VALUE!</v>
      </c>
      <c r="F23" s="44" t="str">
        <f t="shared" si="3"/>
        <v/>
      </c>
      <c r="G23" s="19"/>
    </row>
    <row r="24">
      <c r="A24" s="44" t="str">
        <f>IFERROR(VLOOKUP(B24, DataBase!A:O, 7, FALSE), "No Order Found")</f>
        <v>No Order Found</v>
      </c>
      <c r="B24" s="44" t="str">
        <f>AlFayoumi!B24</f>
        <v/>
      </c>
      <c r="C24" s="44" t="str">
        <f>IFERROR(VLOOKUP(B24, DataBase!A:O, 2, FALSE), "No Order Found")</f>
        <v>No Order Found</v>
      </c>
      <c r="D24" s="12" t="str">
        <f t="shared" si="1"/>
        <v>#VALUE!</v>
      </c>
      <c r="E24" s="12" t="str">
        <f t="shared" si="2"/>
        <v>#VALUE!</v>
      </c>
      <c r="F24" s="44" t="str">
        <f t="shared" si="3"/>
        <v/>
      </c>
      <c r="G24" s="19"/>
    </row>
    <row r="25">
      <c r="A25" s="44" t="str">
        <f>IFERROR(VLOOKUP(B25, DataBase!A:O, 7, FALSE), "No Order Found")</f>
        <v>No Order Found</v>
      </c>
      <c r="B25" s="44" t="str">
        <f>AlFayoumi!B25</f>
        <v/>
      </c>
      <c r="C25" s="44" t="str">
        <f>IFERROR(VLOOKUP(B25, DataBase!A:O, 2, FALSE), "No Order Found")</f>
        <v>No Order Found</v>
      </c>
      <c r="D25" s="12" t="str">
        <f t="shared" si="1"/>
        <v>#VALUE!</v>
      </c>
      <c r="E25" s="12" t="str">
        <f t="shared" si="2"/>
        <v>#VALUE!</v>
      </c>
      <c r="F25" s="44" t="str">
        <f t="shared" si="3"/>
        <v/>
      </c>
      <c r="G25" s="19"/>
    </row>
    <row r="26">
      <c r="A26" s="44" t="str">
        <f>IFERROR(VLOOKUP(B26, DataBase!A:O, 7, FALSE), "No Order Found")</f>
        <v>No Order Found</v>
      </c>
      <c r="B26" s="44" t="str">
        <f>AlFayoumi!B25</f>
        <v/>
      </c>
      <c r="C26" s="44" t="str">
        <f>IFERROR(VLOOKUP(B26, DataBase!A:O, 2, FALSE), "No Order Found")</f>
        <v>No Order Found</v>
      </c>
      <c r="D26" s="12" t="str">
        <f t="shared" si="1"/>
        <v>#VALUE!</v>
      </c>
      <c r="E26" s="12" t="str">
        <f t="shared" si="2"/>
        <v>#VALUE!</v>
      </c>
      <c r="F26" s="44" t="str">
        <f t="shared" si="3"/>
        <v/>
      </c>
      <c r="G26" s="19"/>
    </row>
    <row r="27">
      <c r="A27" s="44" t="str">
        <f>IFERROR(VLOOKUP(B27, DataBase!A:O, 7, FALSE), "No Order Found")</f>
        <v>No Order Found</v>
      </c>
      <c r="B27" s="44" t="str">
        <f>AlFayoumi!B26</f>
        <v/>
      </c>
      <c r="C27" s="44" t="str">
        <f>IFERROR(VLOOKUP(B27, DataBase!A:O, 2, FALSE), "No Order Found")</f>
        <v>No Order Found</v>
      </c>
      <c r="D27" s="12" t="str">
        <f t="shared" si="1"/>
        <v>#VALUE!</v>
      </c>
      <c r="E27" s="12" t="str">
        <f t="shared" si="2"/>
        <v>#VALUE!</v>
      </c>
      <c r="F27" s="44" t="str">
        <f t="shared" si="3"/>
        <v/>
      </c>
      <c r="G27" s="19"/>
    </row>
    <row r="28">
      <c r="A28" s="44" t="str">
        <f>IFERROR(VLOOKUP(B28, DataBase!A:O, 7, FALSE), "No Order Found")</f>
        <v>No Order Found</v>
      </c>
      <c r="B28" s="44" t="str">
        <f>AlFayoumi!B27</f>
        <v/>
      </c>
      <c r="C28" s="44" t="str">
        <f>IFERROR(VLOOKUP(B28, DataBase!A:O, 2, FALSE), "No Order Found")</f>
        <v>No Order Found</v>
      </c>
      <c r="D28" s="12" t="str">
        <f t="shared" si="1"/>
        <v>#VALUE!</v>
      </c>
      <c r="E28" s="12" t="str">
        <f t="shared" si="2"/>
        <v>#VALUE!</v>
      </c>
      <c r="F28" s="44" t="str">
        <f t="shared" si="3"/>
        <v/>
      </c>
      <c r="G28" s="19"/>
    </row>
    <row r="29">
      <c r="A29" s="44" t="str">
        <f>IFERROR(VLOOKUP(B29, DataBase!A:O, 7, FALSE), "No Order Found")</f>
        <v>No Order Found</v>
      </c>
      <c r="B29" s="44" t="str">
        <f>AlFayoumi!B28</f>
        <v/>
      </c>
      <c r="C29" s="44" t="str">
        <f>IFERROR(VLOOKUP(B29, DataBase!A:O, 2, FALSE), "No Order Found")</f>
        <v>No Order Found</v>
      </c>
      <c r="D29" s="12" t="str">
        <f t="shared" si="1"/>
        <v>#VALUE!</v>
      </c>
      <c r="E29" s="12" t="str">
        <f t="shared" si="2"/>
        <v>#VALUE!</v>
      </c>
      <c r="F29" s="44" t="str">
        <f t="shared" si="3"/>
        <v/>
      </c>
      <c r="G29" s="19"/>
    </row>
    <row r="30">
      <c r="A30" s="44" t="str">
        <f>IFERROR(VLOOKUP(B30, DataBase!A:O, 7, FALSE), "No Order Found")</f>
        <v>No Order Found</v>
      </c>
      <c r="B30" s="44" t="str">
        <f>AlFayoumi!B29</f>
        <v/>
      </c>
      <c r="C30" s="44" t="str">
        <f>IFERROR(VLOOKUP(B30, DataBase!A:O, 2, FALSE), "No Order Found")</f>
        <v>No Order Found</v>
      </c>
      <c r="D30" s="12" t="str">
        <f t="shared" si="1"/>
        <v>#VALUE!</v>
      </c>
      <c r="E30" s="12" t="str">
        <f t="shared" si="2"/>
        <v>#VALUE!</v>
      </c>
      <c r="F30" s="44" t="str">
        <f t="shared" si="3"/>
        <v/>
      </c>
      <c r="G30" s="19"/>
    </row>
    <row r="31">
      <c r="A31" s="44" t="str">
        <f>IFERROR(VLOOKUP(B31, DataBase!A:O, 7, FALSE), "No Order Found")</f>
        <v>No Order Found</v>
      </c>
      <c r="B31" s="44" t="str">
        <f>AlFayoumi!B30</f>
        <v/>
      </c>
      <c r="C31" s="44" t="str">
        <f>IFERROR(VLOOKUP(B31, DataBase!A:O, 2, FALSE), "No Order Found")</f>
        <v>No Order Found</v>
      </c>
      <c r="D31" s="12" t="str">
        <f t="shared" si="1"/>
        <v>#VALUE!</v>
      </c>
      <c r="E31" s="12" t="str">
        <f t="shared" si="2"/>
        <v>#VALUE!</v>
      </c>
      <c r="F31" s="44" t="str">
        <f t="shared" si="3"/>
        <v/>
      </c>
      <c r="G31" s="19"/>
    </row>
    <row r="32">
      <c r="A32" s="44" t="str">
        <f>IFERROR(VLOOKUP(B32, DataBase!A:O, 7, FALSE), "No Order Found")</f>
        <v>No Order Found</v>
      </c>
      <c r="B32" s="44" t="str">
        <f>AlFayoumi!B31</f>
        <v/>
      </c>
      <c r="C32" s="44" t="str">
        <f>IFERROR(VLOOKUP(B32, DataBase!A:O, 2, FALSE), "No Order Found")</f>
        <v>No Order Found</v>
      </c>
      <c r="D32" s="12" t="str">
        <f t="shared" si="1"/>
        <v>#VALUE!</v>
      </c>
      <c r="E32" s="12" t="str">
        <f t="shared" si="2"/>
        <v>#VALUE!</v>
      </c>
      <c r="F32" s="44" t="str">
        <f t="shared" si="3"/>
        <v/>
      </c>
      <c r="G32" s="19"/>
    </row>
    <row r="33">
      <c r="A33" s="44" t="str">
        <f>IFERROR(VLOOKUP(B33, DataBase!A:O, 7, FALSE), "No Order Found")</f>
        <v>No Order Found</v>
      </c>
      <c r="B33" s="44" t="str">
        <f>AlFayoumi!B32</f>
        <v/>
      </c>
      <c r="C33" s="44" t="str">
        <f>IFERROR(VLOOKUP(B33, DataBase!A:O, 2, FALSE), "No Order Found")</f>
        <v>No Order Found</v>
      </c>
      <c r="D33" s="12" t="str">
        <f t="shared" si="1"/>
        <v>#VALUE!</v>
      </c>
      <c r="E33" s="12" t="str">
        <f t="shared" si="2"/>
        <v>#VALUE!</v>
      </c>
      <c r="F33" s="44" t="str">
        <f t="shared" si="3"/>
        <v/>
      </c>
      <c r="G33" s="19"/>
    </row>
    <row r="34">
      <c r="A34" s="44" t="str">
        <f>IFERROR(VLOOKUP(B34, DataBase!A:O, 7, FALSE), "No Order Found")</f>
        <v>No Order Found</v>
      </c>
      <c r="B34" s="44" t="str">
        <f>AlFayoumi!B33</f>
        <v/>
      </c>
      <c r="C34" s="44" t="str">
        <f>IFERROR(VLOOKUP(B34, DataBase!A:O, 2, FALSE), "No Order Found")</f>
        <v>No Order Found</v>
      </c>
      <c r="D34" s="12" t="str">
        <f t="shared" si="1"/>
        <v>#VALUE!</v>
      </c>
      <c r="E34" s="12" t="str">
        <f t="shared" si="2"/>
        <v>#VALUE!</v>
      </c>
      <c r="F34" s="44" t="str">
        <f t="shared" si="3"/>
        <v/>
      </c>
      <c r="G34" s="19"/>
    </row>
    <row r="35">
      <c r="A35" s="44" t="str">
        <f>IFERROR(VLOOKUP(B35, DataBase!A:O, 7, FALSE), "No Order Found")</f>
        <v>No Order Found</v>
      </c>
      <c r="B35" s="44" t="str">
        <f>AlFayoumi!B34</f>
        <v/>
      </c>
      <c r="C35" s="44" t="str">
        <f>IFERROR(VLOOKUP(B35, DataBase!A:O, 2, FALSE), "No Order Found")</f>
        <v>No Order Found</v>
      </c>
      <c r="D35" s="12" t="str">
        <f t="shared" si="1"/>
        <v>#VALUE!</v>
      </c>
      <c r="E35" s="12" t="str">
        <f t="shared" si="2"/>
        <v>#VALUE!</v>
      </c>
      <c r="F35" s="44" t="str">
        <f t="shared" si="3"/>
        <v/>
      </c>
      <c r="G35" s="19"/>
    </row>
    <row r="36">
      <c r="A36" s="44" t="str">
        <f>IFERROR(VLOOKUP(B36, DataBase!A:O, 7, FALSE), "No Order Found")</f>
        <v>No Order Found</v>
      </c>
      <c r="B36" s="44" t="str">
        <f>AlFayoumi!B35</f>
        <v/>
      </c>
      <c r="C36" s="44" t="str">
        <f>IFERROR(VLOOKUP(B36, DataBase!A:O, 2, FALSE), "No Order Found")</f>
        <v>No Order Found</v>
      </c>
      <c r="D36" s="12" t="str">
        <f t="shared" si="1"/>
        <v>#VALUE!</v>
      </c>
      <c r="E36" s="12" t="str">
        <f t="shared" si="2"/>
        <v>#VALUE!</v>
      </c>
      <c r="F36" s="44" t="str">
        <f t="shared" si="3"/>
        <v/>
      </c>
      <c r="G36" s="19"/>
    </row>
    <row r="37">
      <c r="A37" s="44" t="str">
        <f>IFERROR(VLOOKUP(B37, DataBase!A:O, 7, FALSE), "No Order Found")</f>
        <v>No Order Found</v>
      </c>
      <c r="B37" s="44" t="str">
        <f>AlFayoumi!B36</f>
        <v/>
      </c>
      <c r="C37" s="44" t="str">
        <f>IFERROR(VLOOKUP(B37, DataBase!A:O, 2, FALSE), "No Order Found")</f>
        <v>No Order Found</v>
      </c>
      <c r="D37" s="12" t="str">
        <f t="shared" si="1"/>
        <v>#VALUE!</v>
      </c>
      <c r="E37" s="12" t="str">
        <f t="shared" si="2"/>
        <v>#VALUE!</v>
      </c>
      <c r="F37" s="44" t="str">
        <f t="shared" si="3"/>
        <v/>
      </c>
      <c r="G37" s="19"/>
    </row>
    <row r="38">
      <c r="A38" s="44" t="str">
        <f>IFERROR(VLOOKUP(B38, DataBase!A:O, 7, FALSE), "No Order Found")</f>
        <v>No Order Found</v>
      </c>
      <c r="B38" s="44" t="str">
        <f>AlFayoumi!B37</f>
        <v/>
      </c>
      <c r="C38" s="44" t="str">
        <f>IFERROR(VLOOKUP(B38, DataBase!A:O, 2, FALSE), "No Order Found")</f>
        <v>No Order Found</v>
      </c>
      <c r="D38" s="12" t="str">
        <f t="shared" si="1"/>
        <v>#VALUE!</v>
      </c>
      <c r="E38" s="12" t="str">
        <f t="shared" si="2"/>
        <v>#VALUE!</v>
      </c>
      <c r="F38" s="44" t="str">
        <f t="shared" si="3"/>
        <v/>
      </c>
      <c r="G38" s="19"/>
    </row>
    <row r="39">
      <c r="A39" s="44" t="str">
        <f>IFERROR(VLOOKUP(B39, DataBase!A:O, 7, FALSE), "No Order Found")</f>
        <v>No Order Found</v>
      </c>
      <c r="B39" s="44" t="str">
        <f>AlFayoumi!B38</f>
        <v/>
      </c>
      <c r="C39" s="44" t="str">
        <f>IFERROR(VLOOKUP(B39, DataBase!A:O, 2, FALSE), "No Order Found")</f>
        <v>No Order Found</v>
      </c>
      <c r="D39" s="12" t="str">
        <f t="shared" si="1"/>
        <v>#VALUE!</v>
      </c>
      <c r="E39" s="12" t="str">
        <f t="shared" si="2"/>
        <v>#VALUE!</v>
      </c>
      <c r="F39" s="44" t="str">
        <f t="shared" si="3"/>
        <v/>
      </c>
      <c r="G39" s="19"/>
    </row>
    <row r="40">
      <c r="A40" s="44" t="str">
        <f>IFERROR(VLOOKUP(B40, DataBase!A:O, 7, FALSE), "No Order Found")</f>
        <v>No Order Found</v>
      </c>
      <c r="B40" s="44" t="str">
        <f>AlFayoumi!B39</f>
        <v/>
      </c>
      <c r="C40" s="44" t="str">
        <f>IFERROR(VLOOKUP(B40, DataBase!A:O, 2, FALSE), "No Order Found")</f>
        <v>No Order Found</v>
      </c>
      <c r="D40" s="12" t="str">
        <f t="shared" si="1"/>
        <v>#VALUE!</v>
      </c>
      <c r="E40" s="12" t="str">
        <f t="shared" si="2"/>
        <v>#VALUE!</v>
      </c>
      <c r="F40" s="44" t="str">
        <f t="shared" si="3"/>
        <v/>
      </c>
      <c r="G40" s="19"/>
    </row>
    <row r="41">
      <c r="A41" s="44" t="str">
        <f>IFERROR(VLOOKUP(B41, DataBase!A:O, 7, FALSE), "No Order Found")</f>
        <v>No Order Found</v>
      </c>
      <c r="B41" s="44" t="str">
        <f>AlFayoumi!B40</f>
        <v/>
      </c>
      <c r="C41" s="44" t="str">
        <f>IFERROR(VLOOKUP(B41, DataBase!A:O, 2, FALSE), "No Order Found")</f>
        <v>No Order Found</v>
      </c>
      <c r="D41" s="12" t="str">
        <f t="shared" si="1"/>
        <v>#VALUE!</v>
      </c>
      <c r="E41" s="12" t="str">
        <f t="shared" si="2"/>
        <v>#VALUE!</v>
      </c>
      <c r="F41" s="44" t="str">
        <f t="shared" si="3"/>
        <v/>
      </c>
      <c r="G41" s="19"/>
    </row>
    <row r="42">
      <c r="A42" s="44" t="str">
        <f>IFERROR(VLOOKUP(B42, DataBase!A:O, 7, FALSE), "No Order Found")</f>
        <v>No Order Found</v>
      </c>
      <c r="B42" s="44" t="str">
        <f>AlFayoumi!B41</f>
        <v/>
      </c>
      <c r="C42" s="44" t="str">
        <f>IFERROR(VLOOKUP(B42, DataBase!A:O, 2, FALSE), "No Order Found")</f>
        <v>No Order Found</v>
      </c>
      <c r="D42" s="12" t="str">
        <f t="shared" si="1"/>
        <v>#VALUE!</v>
      </c>
      <c r="E42" s="12" t="str">
        <f t="shared" si="2"/>
        <v>#VALUE!</v>
      </c>
      <c r="F42" s="44" t="str">
        <f t="shared" si="3"/>
        <v/>
      </c>
      <c r="G42" s="19"/>
    </row>
    <row r="43">
      <c r="A43" s="44" t="str">
        <f>IFERROR(VLOOKUP(B43, DataBase!A:O, 7, FALSE), "No Order Found")</f>
        <v>No Order Found</v>
      </c>
      <c r="B43" s="44" t="str">
        <f>AlFayoumi!B42</f>
        <v/>
      </c>
      <c r="C43" s="44" t="str">
        <f>IFERROR(VLOOKUP(B43, DataBase!A:O, 2, FALSE), "No Order Found")</f>
        <v>No Order Found</v>
      </c>
      <c r="D43" s="12" t="str">
        <f t="shared" si="1"/>
        <v>#VALUE!</v>
      </c>
      <c r="E43" s="12" t="str">
        <f t="shared" si="2"/>
        <v>#VALUE!</v>
      </c>
      <c r="F43" s="44" t="str">
        <f t="shared" si="3"/>
        <v/>
      </c>
      <c r="G43" s="19"/>
    </row>
    <row r="44">
      <c r="A44" s="44" t="str">
        <f>IFERROR(VLOOKUP(B44, DataBase!A:O, 7, FALSE), "No Order Found")</f>
        <v>No Order Found</v>
      </c>
      <c r="B44" s="44" t="str">
        <f>AlFayoumi!B43</f>
        <v/>
      </c>
      <c r="C44" s="44" t="str">
        <f>IFERROR(VLOOKUP(B44, DataBase!A:O, 2, FALSE), "No Order Found")</f>
        <v>No Order Found</v>
      </c>
      <c r="D44" s="12" t="str">
        <f t="shared" si="1"/>
        <v>#VALUE!</v>
      </c>
      <c r="E44" s="12" t="str">
        <f t="shared" si="2"/>
        <v>#VALUE!</v>
      </c>
      <c r="F44" s="44" t="str">
        <f t="shared" si="3"/>
        <v/>
      </c>
      <c r="G44" s="19"/>
    </row>
    <row r="45">
      <c r="A45" s="44" t="str">
        <f>IFERROR(VLOOKUP(B45, DataBase!A:O, 7, FALSE), "No Order Found")</f>
        <v>No Order Found</v>
      </c>
      <c r="B45" s="44" t="str">
        <f>AlFayoumi!B44</f>
        <v/>
      </c>
      <c r="C45" s="44" t="str">
        <f>IFERROR(VLOOKUP(B45, DataBase!A:O, 2, FALSE), "No Order Found")</f>
        <v>No Order Found</v>
      </c>
      <c r="D45" s="12" t="str">
        <f t="shared" si="1"/>
        <v>#VALUE!</v>
      </c>
      <c r="E45" s="12" t="str">
        <f t="shared" si="2"/>
        <v>#VALUE!</v>
      </c>
      <c r="F45" s="44" t="str">
        <f t="shared" si="3"/>
        <v/>
      </c>
      <c r="G45" s="19"/>
    </row>
    <row r="46">
      <c r="A46" s="44" t="str">
        <f>IFERROR(VLOOKUP(B46, DataBase!A:O, 7, FALSE), "No Order Found")</f>
        <v>No Order Found</v>
      </c>
      <c r="B46" s="44" t="str">
        <f>AlFayoumi!B45</f>
        <v/>
      </c>
      <c r="C46" s="44" t="str">
        <f>IFERROR(VLOOKUP(B46, DataBase!A:O, 2, FALSE), "No Order Found")</f>
        <v>No Order Found</v>
      </c>
      <c r="D46" s="12" t="str">
        <f t="shared" si="1"/>
        <v>#VALUE!</v>
      </c>
      <c r="E46" s="12" t="str">
        <f t="shared" si="2"/>
        <v>#VALUE!</v>
      </c>
      <c r="F46" s="44" t="str">
        <f t="shared" si="3"/>
        <v/>
      </c>
      <c r="G46" s="19"/>
    </row>
    <row r="47">
      <c r="A47" s="44" t="str">
        <f>IFERROR(VLOOKUP(B47, DataBase!A:O, 7, FALSE), "No Order Found")</f>
        <v>No Order Found</v>
      </c>
      <c r="B47" s="44" t="str">
        <f>AlFayoumi!B46</f>
        <v/>
      </c>
      <c r="C47" s="44" t="str">
        <f>IFERROR(VLOOKUP(B47, DataBase!A:O, 2, FALSE), "No Order Found")</f>
        <v>No Order Found</v>
      </c>
      <c r="D47" s="12" t="str">
        <f t="shared" si="1"/>
        <v>#VALUE!</v>
      </c>
      <c r="E47" s="12" t="str">
        <f t="shared" si="2"/>
        <v>#VALUE!</v>
      </c>
      <c r="F47" s="44" t="str">
        <f t="shared" si="3"/>
        <v/>
      </c>
      <c r="G47" s="19"/>
    </row>
    <row r="48">
      <c r="A48" s="44" t="str">
        <f>IFERROR(VLOOKUP(B48, DataBase!A:O, 7, FALSE), "No Order Found")</f>
        <v>No Order Found</v>
      </c>
      <c r="B48" s="44" t="str">
        <f>AlFayoumi!B47</f>
        <v/>
      </c>
      <c r="C48" s="44" t="str">
        <f>IFERROR(VLOOKUP(B48, DataBase!A:O, 2, FALSE), "No Order Found")</f>
        <v>No Order Found</v>
      </c>
      <c r="D48" s="12" t="str">
        <f t="shared" si="1"/>
        <v>#VALUE!</v>
      </c>
      <c r="E48" s="12" t="str">
        <f t="shared" si="2"/>
        <v>#VALUE!</v>
      </c>
      <c r="F48" s="44" t="str">
        <f t="shared" si="3"/>
        <v/>
      </c>
      <c r="G48" s="19"/>
    </row>
    <row r="49">
      <c r="A49" s="44" t="str">
        <f>IFERROR(VLOOKUP(B49, DataBase!A:O, 7, FALSE), "No Order Found")</f>
        <v>No Order Found</v>
      </c>
      <c r="B49" s="44" t="str">
        <f>AlFayoumi!B48</f>
        <v/>
      </c>
      <c r="C49" s="44" t="str">
        <f>IFERROR(VLOOKUP(B49, DataBase!A:O, 2, FALSE), "No Order Found")</f>
        <v>No Order Found</v>
      </c>
      <c r="D49" s="12" t="str">
        <f t="shared" si="1"/>
        <v>#VALUE!</v>
      </c>
      <c r="E49" s="12" t="str">
        <f t="shared" si="2"/>
        <v>#VALUE!</v>
      </c>
      <c r="F49" s="44" t="str">
        <f t="shared" si="3"/>
        <v/>
      </c>
      <c r="G49" s="19"/>
    </row>
    <row r="50">
      <c r="A50" s="44" t="str">
        <f>IFERROR(VLOOKUP(B50, DataBase!A:O, 7, FALSE), "No Order Found")</f>
        <v>No Order Found</v>
      </c>
      <c r="B50" s="44" t="str">
        <f>AlFayoumi!B49</f>
        <v/>
      </c>
      <c r="C50" s="44" t="str">
        <f>IFERROR(VLOOKUP(B50, DataBase!A:O, 2, FALSE), "No Order Found")</f>
        <v>No Order Found</v>
      </c>
      <c r="D50" s="12" t="str">
        <f t="shared" si="1"/>
        <v>#VALUE!</v>
      </c>
      <c r="E50" s="12" t="str">
        <f t="shared" si="2"/>
        <v>#VALUE!</v>
      </c>
      <c r="F50" s="44" t="str">
        <f t="shared" si="3"/>
        <v/>
      </c>
      <c r="G50" s="19"/>
    </row>
    <row r="51">
      <c r="A51" s="44" t="str">
        <f>IFERROR(VLOOKUP(B51, DataBase!A:O, 7, FALSE), "No Order Found")</f>
        <v>No Order Found</v>
      </c>
      <c r="B51" s="44" t="str">
        <f>AlFayoumi!B50</f>
        <v/>
      </c>
      <c r="C51" s="44" t="str">
        <f>IFERROR(VLOOKUP(B51, DataBase!A:O, 2, FALSE), "No Order Found")</f>
        <v>No Order Found</v>
      </c>
      <c r="D51" s="12" t="str">
        <f t="shared" si="1"/>
        <v>#VALUE!</v>
      </c>
      <c r="E51" s="12" t="str">
        <f t="shared" si="2"/>
        <v>#VALUE!</v>
      </c>
      <c r="F51" s="44" t="str">
        <f t="shared" si="3"/>
        <v/>
      </c>
      <c r="G51" s="19"/>
    </row>
    <row r="52">
      <c r="A52" s="44" t="str">
        <f>IFERROR(VLOOKUP(B52, DataBase!A:O, 7, FALSE), "No Order Found")</f>
        <v>No Order Found</v>
      </c>
      <c r="B52" s="44" t="str">
        <f>AlFayoumi!B51</f>
        <v/>
      </c>
      <c r="C52" s="44" t="str">
        <f>IFERROR(VLOOKUP(B52, DataBase!A:O, 2, FALSE), "No Order Found")</f>
        <v>No Order Found</v>
      </c>
      <c r="D52" s="12" t="str">
        <f t="shared" si="1"/>
        <v>#VALUE!</v>
      </c>
      <c r="E52" s="12" t="str">
        <f t="shared" si="2"/>
        <v>#VALUE!</v>
      </c>
      <c r="F52" s="44" t="str">
        <f t="shared" si="3"/>
        <v/>
      </c>
      <c r="G52" s="19"/>
    </row>
    <row r="53">
      <c r="A53" s="44" t="str">
        <f>IFERROR(VLOOKUP(B53, DataBase!A:O, 7, FALSE), "No Order Found")</f>
        <v>No Order Found</v>
      </c>
      <c r="B53" s="44" t="str">
        <f>Orders!B15</f>
        <v/>
      </c>
      <c r="C53" s="44" t="str">
        <f>IFERROR(VLOOKUP(B53, DataBase!A:O, 2, FALSE), "No Order Found")</f>
        <v>No Order Found</v>
      </c>
      <c r="D53" s="12" t="str">
        <f t="shared" si="1"/>
        <v>#VALUE!</v>
      </c>
      <c r="E53" s="12" t="str">
        <f t="shared" si="2"/>
        <v>#VALUE!</v>
      </c>
      <c r="F53" s="44" t="str">
        <f t="shared" si="3"/>
        <v/>
      </c>
      <c r="G53" s="19"/>
    </row>
    <row r="54">
      <c r="A54" s="44" t="str">
        <f>IFERROR(VLOOKUP(B54, DataBase!A:O, 7, FALSE), "No Order Found")</f>
        <v>No Order Found</v>
      </c>
      <c r="B54" s="44" t="str">
        <f>Orders!B16</f>
        <v/>
      </c>
      <c r="C54" s="44" t="str">
        <f>IFERROR(VLOOKUP(B54, DataBase!A:O, 2, FALSE), "No Order Found")</f>
        <v>No Order Found</v>
      </c>
      <c r="D54" s="12" t="str">
        <f t="shared" si="1"/>
        <v>#VALUE!</v>
      </c>
      <c r="E54" s="12" t="str">
        <f t="shared" si="2"/>
        <v>#VALUE!</v>
      </c>
      <c r="F54" s="44" t="str">
        <f t="shared" si="3"/>
        <v/>
      </c>
      <c r="G54" s="19"/>
    </row>
    <row r="55">
      <c r="A55" s="44" t="str">
        <f>IFERROR(VLOOKUP(B55, DataBase!A:O, 7, FALSE), "No Order Found")</f>
        <v>No Order Found</v>
      </c>
      <c r="B55" s="44" t="str">
        <f>Orders!B17</f>
        <v/>
      </c>
      <c r="C55" s="44" t="str">
        <f>IFERROR(VLOOKUP(B55, DataBase!A:O, 2, FALSE), "No Order Found")</f>
        <v>No Order Found</v>
      </c>
      <c r="D55" s="12" t="str">
        <f t="shared" si="1"/>
        <v>#VALUE!</v>
      </c>
      <c r="E55" s="12" t="str">
        <f t="shared" si="2"/>
        <v>#VALUE!</v>
      </c>
      <c r="F55" s="44" t="str">
        <f t="shared" si="3"/>
        <v/>
      </c>
      <c r="G55" s="19"/>
    </row>
    <row r="56">
      <c r="A56" s="44" t="str">
        <f>IFERROR(VLOOKUP(B56, DataBase!A:O, 7, FALSE), "No Order Found")</f>
        <v>No Order Found</v>
      </c>
      <c r="B56" s="44" t="str">
        <f>Orders!B18</f>
        <v/>
      </c>
      <c r="C56" s="44" t="str">
        <f>IFERROR(VLOOKUP(B56, DataBase!A:O, 2, FALSE), "No Order Found")</f>
        <v>No Order Found</v>
      </c>
      <c r="D56" s="12" t="str">
        <f t="shared" si="1"/>
        <v>#VALUE!</v>
      </c>
      <c r="E56" s="12" t="str">
        <f t="shared" si="2"/>
        <v>#VALUE!</v>
      </c>
      <c r="F56" s="44" t="str">
        <f t="shared" si="3"/>
        <v/>
      </c>
      <c r="G56" s="19"/>
    </row>
    <row r="57">
      <c r="A57" s="44" t="str">
        <f>IFERROR(VLOOKUP(B57, DataBase!A:O, 7, FALSE), "No Order Found")</f>
        <v>No Order Found</v>
      </c>
      <c r="B57" s="44" t="str">
        <f>Orders!B19</f>
        <v/>
      </c>
      <c r="C57" s="44" t="str">
        <f>IFERROR(VLOOKUP(B57, DataBase!A:O, 2, FALSE), "No Order Found")</f>
        <v>No Order Found</v>
      </c>
      <c r="D57" s="12" t="str">
        <f t="shared" si="1"/>
        <v>#VALUE!</v>
      </c>
      <c r="E57" s="12" t="str">
        <f t="shared" si="2"/>
        <v>#VALUE!</v>
      </c>
      <c r="F57" s="44" t="str">
        <f t="shared" si="3"/>
        <v/>
      </c>
      <c r="G57" s="19"/>
    </row>
    <row r="58">
      <c r="A58" s="44" t="str">
        <f>IFERROR(VLOOKUP(B58, DataBase!A:O, 7, FALSE), "No Order Found")</f>
        <v>No Order Found</v>
      </c>
      <c r="B58" s="44" t="str">
        <f>Orders!B20</f>
        <v/>
      </c>
      <c r="C58" s="44" t="str">
        <f>IFERROR(VLOOKUP(B58, DataBase!A:O, 2, FALSE), "No Order Found")</f>
        <v>No Order Found</v>
      </c>
      <c r="D58" s="12" t="str">
        <f t="shared" si="1"/>
        <v>#VALUE!</v>
      </c>
      <c r="E58" s="12" t="str">
        <f t="shared" si="2"/>
        <v>#VALUE!</v>
      </c>
      <c r="F58" s="44" t="str">
        <f t="shared" si="3"/>
        <v/>
      </c>
      <c r="G58" s="19"/>
    </row>
    <row r="59">
      <c r="A59" s="44" t="str">
        <f>IFERROR(VLOOKUP(B59, DataBase!A:O, 7, FALSE), "No Order Found")</f>
        <v>No Order Found</v>
      </c>
      <c r="B59" s="44" t="str">
        <f>Orders!B21</f>
        <v/>
      </c>
      <c r="C59" s="44" t="str">
        <f>IFERROR(VLOOKUP(B59, DataBase!A:O, 2, FALSE), "No Order Found")</f>
        <v>No Order Found</v>
      </c>
      <c r="D59" s="12" t="str">
        <f t="shared" si="1"/>
        <v>#VALUE!</v>
      </c>
      <c r="E59" s="12" t="str">
        <f t="shared" si="2"/>
        <v>#VALUE!</v>
      </c>
      <c r="F59" s="44" t="str">
        <f t="shared" si="3"/>
        <v/>
      </c>
      <c r="G59" s="19"/>
    </row>
    <row r="60">
      <c r="A60" s="44" t="str">
        <f>IFERROR(VLOOKUP(B60, DataBase!A:O, 7, FALSE), "No Order Found")</f>
        <v>No Order Found</v>
      </c>
      <c r="B60" s="44" t="str">
        <f>Orders!B22</f>
        <v/>
      </c>
      <c r="C60" s="44" t="str">
        <f>IFERROR(VLOOKUP(B60, DataBase!A:O, 2, FALSE), "No Order Found")</f>
        <v>No Order Found</v>
      </c>
      <c r="D60" s="12" t="str">
        <f t="shared" si="1"/>
        <v>#VALUE!</v>
      </c>
      <c r="E60" s="12" t="str">
        <f t="shared" si="2"/>
        <v>#VALUE!</v>
      </c>
      <c r="F60" s="44" t="str">
        <f t="shared" si="3"/>
        <v/>
      </c>
      <c r="G60" s="19"/>
    </row>
    <row r="61">
      <c r="A61" s="44" t="str">
        <f>IFERROR(VLOOKUP(B61, DataBase!A:O, 7, FALSE), "No Order Found")</f>
        <v>No Order Found</v>
      </c>
      <c r="B61" s="44" t="str">
        <f>Orders!B23</f>
        <v/>
      </c>
      <c r="C61" s="44" t="str">
        <f>IFERROR(VLOOKUP(B61, DataBase!A:O, 2, FALSE), "No Order Found")</f>
        <v>No Order Found</v>
      </c>
      <c r="D61" s="12" t="str">
        <f t="shared" si="1"/>
        <v>#VALUE!</v>
      </c>
      <c r="E61" s="12" t="str">
        <f t="shared" si="2"/>
        <v>#VALUE!</v>
      </c>
      <c r="F61" s="44" t="str">
        <f t="shared" si="3"/>
        <v/>
      </c>
      <c r="G61" s="19"/>
    </row>
    <row r="62">
      <c r="A62" s="44" t="str">
        <f>IFERROR(VLOOKUP(B62, DataBase!A:O, 7, FALSE), "No Order Found")</f>
        <v>No Order Found</v>
      </c>
      <c r="B62" s="44" t="str">
        <f>Orders!B24</f>
        <v/>
      </c>
      <c r="C62" s="44" t="str">
        <f>IFERROR(VLOOKUP(B62, DataBase!A:O, 2, FALSE), "No Order Found")</f>
        <v>No Order Found</v>
      </c>
      <c r="D62" s="12" t="str">
        <f t="shared" si="1"/>
        <v>#VALUE!</v>
      </c>
      <c r="E62" s="12" t="str">
        <f t="shared" si="2"/>
        <v>#VALUE!</v>
      </c>
      <c r="F62" s="44" t="str">
        <f t="shared" si="3"/>
        <v/>
      </c>
      <c r="G62" s="19"/>
    </row>
    <row r="63">
      <c r="A63" s="44" t="str">
        <f>IFERROR(VLOOKUP(B63, DataBase!A:O, 7, FALSE), "No Order Found")</f>
        <v>No Order Found</v>
      </c>
      <c r="B63" s="44" t="str">
        <f>Orders!B25</f>
        <v/>
      </c>
      <c r="C63" s="44" t="str">
        <f>IFERROR(VLOOKUP(B63, DataBase!A:O, 2, FALSE), "No Order Found")</f>
        <v>No Order Found</v>
      </c>
      <c r="D63" s="12" t="str">
        <f t="shared" si="1"/>
        <v>#VALUE!</v>
      </c>
      <c r="E63" s="12" t="str">
        <f t="shared" si="2"/>
        <v>#VALUE!</v>
      </c>
      <c r="F63" s="44" t="str">
        <f t="shared" si="3"/>
        <v/>
      </c>
      <c r="G63" s="19"/>
    </row>
    <row r="64">
      <c r="A64" s="44" t="str">
        <f>IFERROR(VLOOKUP(B64, DataBase!A:O, 7, FALSE), "No Order Found")</f>
        <v>No Order Found</v>
      </c>
      <c r="B64" s="44" t="str">
        <f>Orders!B26</f>
        <v/>
      </c>
      <c r="C64" s="44" t="str">
        <f>IFERROR(VLOOKUP(B64, DataBase!A:O, 2, FALSE), "No Order Found")</f>
        <v>No Order Found</v>
      </c>
      <c r="D64" s="12" t="str">
        <f t="shared" si="1"/>
        <v>#VALUE!</v>
      </c>
      <c r="E64" s="12" t="str">
        <f t="shared" si="2"/>
        <v>#VALUE!</v>
      </c>
      <c r="F64" s="44" t="str">
        <f t="shared" si="3"/>
        <v/>
      </c>
      <c r="G64" s="19"/>
    </row>
    <row r="65">
      <c r="A65" s="44" t="str">
        <f>IFERROR(VLOOKUP(B65, DataBase!A:O, 7, FALSE), "No Order Found")</f>
        <v>No Order Found</v>
      </c>
      <c r="B65" s="44" t="str">
        <f>Orders!B27</f>
        <v/>
      </c>
      <c r="C65" s="44" t="str">
        <f>IFERROR(VLOOKUP(B65, DataBase!A:O, 2, FALSE), "No Order Found")</f>
        <v>No Order Found</v>
      </c>
      <c r="D65" s="12" t="str">
        <f t="shared" si="1"/>
        <v>#VALUE!</v>
      </c>
      <c r="E65" s="12" t="str">
        <f t="shared" si="2"/>
        <v>#VALUE!</v>
      </c>
      <c r="F65" s="44" t="str">
        <f t="shared" si="3"/>
        <v/>
      </c>
      <c r="G65" s="19"/>
    </row>
    <row r="66">
      <c r="A66" s="44" t="str">
        <f>IFERROR(VLOOKUP(B66, DataBase!A:O, 7, FALSE), "No Order Found")</f>
        <v>No Order Found</v>
      </c>
      <c r="B66" s="44" t="str">
        <f>Orders!B28</f>
        <v/>
      </c>
      <c r="C66" s="44" t="str">
        <f>IFERROR(VLOOKUP(B66, DataBase!A:O, 2, FALSE), "No Order Found")</f>
        <v>No Order Found</v>
      </c>
      <c r="D66" s="12" t="str">
        <f t="shared" si="1"/>
        <v>#VALUE!</v>
      </c>
      <c r="E66" s="12" t="str">
        <f t="shared" si="2"/>
        <v>#VALUE!</v>
      </c>
      <c r="F66" s="44" t="str">
        <f t="shared" si="3"/>
        <v/>
      </c>
      <c r="G66" s="19"/>
    </row>
    <row r="67">
      <c r="A67" s="44" t="str">
        <f>IFERROR(VLOOKUP(B67, DataBase!A:O, 7, FALSE), "No Order Found")</f>
        <v>No Order Found</v>
      </c>
      <c r="B67" s="44" t="str">
        <f>Orders!B29</f>
        <v/>
      </c>
      <c r="C67" s="44" t="str">
        <f>IFERROR(VLOOKUP(B67, DataBase!A:O, 2, FALSE), "No Order Found")</f>
        <v>No Order Found</v>
      </c>
      <c r="D67" s="12" t="str">
        <f t="shared" si="1"/>
        <v>#VALUE!</v>
      </c>
      <c r="E67" s="12" t="str">
        <f t="shared" si="2"/>
        <v>#VALUE!</v>
      </c>
      <c r="F67" s="44" t="str">
        <f t="shared" si="3"/>
        <v/>
      </c>
      <c r="G67" s="19"/>
    </row>
    <row r="68">
      <c r="A68" s="44" t="str">
        <f>IFERROR(VLOOKUP(B68, DataBase!A:O, 7, FALSE), "No Order Found")</f>
        <v>No Order Found</v>
      </c>
      <c r="B68" s="44" t="str">
        <f>Orders!B30</f>
        <v/>
      </c>
      <c r="C68" s="44" t="str">
        <f>IFERROR(VLOOKUP(B68, DataBase!A:O, 2, FALSE), "No Order Found")</f>
        <v>No Order Found</v>
      </c>
      <c r="D68" s="12" t="str">
        <f t="shared" si="1"/>
        <v>#VALUE!</v>
      </c>
      <c r="E68" s="12" t="str">
        <f t="shared" si="2"/>
        <v>#VALUE!</v>
      </c>
      <c r="F68" s="44" t="str">
        <f t="shared" si="3"/>
        <v/>
      </c>
      <c r="G68" s="19"/>
    </row>
    <row r="69">
      <c r="A69" s="44" t="str">
        <f>IFERROR(VLOOKUP(B69, DataBase!A:O, 7, FALSE), "No Order Found")</f>
        <v>No Order Found</v>
      </c>
      <c r="B69" s="44" t="str">
        <f>Orders!B31</f>
        <v/>
      </c>
      <c r="C69" s="44" t="str">
        <f>IFERROR(VLOOKUP(B69, DataBase!A:O, 2, FALSE), "No Order Found")</f>
        <v>No Order Found</v>
      </c>
      <c r="D69" s="12" t="str">
        <f t="shared" si="1"/>
        <v>#VALUE!</v>
      </c>
      <c r="E69" s="12" t="str">
        <f t="shared" si="2"/>
        <v>#VALUE!</v>
      </c>
      <c r="F69" s="44" t="str">
        <f t="shared" si="3"/>
        <v/>
      </c>
      <c r="G69" s="19"/>
    </row>
    <row r="70">
      <c r="A70" s="44" t="str">
        <f>IFERROR(VLOOKUP(B70, DataBase!A:O, 7, FALSE), "No Order Found")</f>
        <v>No Order Found</v>
      </c>
      <c r="B70" s="44" t="str">
        <f>Orders!B32</f>
        <v/>
      </c>
      <c r="C70" s="44" t="str">
        <f>IFERROR(VLOOKUP(B70, DataBase!A:O, 2, FALSE), "No Order Found")</f>
        <v>No Order Found</v>
      </c>
      <c r="D70" s="12" t="str">
        <f t="shared" si="1"/>
        <v>#VALUE!</v>
      </c>
      <c r="E70" s="12" t="str">
        <f t="shared" si="2"/>
        <v>#VALUE!</v>
      </c>
      <c r="F70" s="44" t="str">
        <f t="shared" si="3"/>
        <v/>
      </c>
      <c r="G70" s="19"/>
    </row>
    <row r="71">
      <c r="A71" s="44" t="str">
        <f>IFERROR(VLOOKUP(B71, DataBase!A:O, 7, FALSE), "No Order Found")</f>
        <v>No Order Found</v>
      </c>
      <c r="B71" s="44" t="str">
        <f>Orders!B33</f>
        <v/>
      </c>
      <c r="C71" s="44" t="str">
        <f>IFERROR(VLOOKUP(B71, DataBase!A:O, 2, FALSE), "No Order Found")</f>
        <v>No Order Found</v>
      </c>
      <c r="D71" s="12" t="str">
        <f t="shared" si="1"/>
        <v>#VALUE!</v>
      </c>
      <c r="E71" s="12" t="str">
        <f t="shared" si="2"/>
        <v>#VALUE!</v>
      </c>
      <c r="F71" s="44" t="str">
        <f t="shared" si="3"/>
        <v/>
      </c>
      <c r="G71" s="19"/>
    </row>
    <row r="72">
      <c r="A72" s="44" t="str">
        <f>IFERROR(VLOOKUP(B72, DataBase!A:O, 7, FALSE), "No Order Found")</f>
        <v>No Order Found</v>
      </c>
      <c r="B72" s="44" t="str">
        <f>Orders!B34</f>
        <v/>
      </c>
      <c r="C72" s="44" t="str">
        <f>IFERROR(VLOOKUP(B72, DataBase!A:O, 2, FALSE), "No Order Found")</f>
        <v>No Order Found</v>
      </c>
      <c r="D72" s="12" t="str">
        <f t="shared" si="1"/>
        <v>#VALUE!</v>
      </c>
      <c r="E72" s="12" t="str">
        <f t="shared" si="2"/>
        <v>#VALUE!</v>
      </c>
      <c r="F72" s="44" t="str">
        <f t="shared" si="3"/>
        <v/>
      </c>
      <c r="G72" s="19"/>
    </row>
    <row r="73">
      <c r="A73" s="44" t="str">
        <f>IFERROR(VLOOKUP(B73, DataBase!A:O, 7, FALSE), "No Order Found")</f>
        <v>No Order Found</v>
      </c>
      <c r="B73" s="44" t="str">
        <f>Orders!B35</f>
        <v/>
      </c>
      <c r="C73" s="44" t="str">
        <f>IFERROR(VLOOKUP(B73, DataBase!A:O, 2, FALSE), "No Order Found")</f>
        <v>No Order Found</v>
      </c>
      <c r="D73" s="12" t="str">
        <f t="shared" si="1"/>
        <v>#VALUE!</v>
      </c>
      <c r="E73" s="12" t="str">
        <f t="shared" si="2"/>
        <v>#VALUE!</v>
      </c>
      <c r="F73" s="44" t="str">
        <f t="shared" si="3"/>
        <v/>
      </c>
      <c r="G73" s="19"/>
    </row>
    <row r="74">
      <c r="A74" s="44" t="str">
        <f>IFERROR(VLOOKUP(B74, DataBase!A:O, 7, FALSE), "No Order Found")</f>
        <v>No Order Found</v>
      </c>
      <c r="B74" s="44" t="str">
        <f>Orders!B36</f>
        <v/>
      </c>
      <c r="C74" s="44" t="str">
        <f>IFERROR(VLOOKUP(B74, DataBase!A:O, 2, FALSE), "No Order Found")</f>
        <v>No Order Found</v>
      </c>
      <c r="D74" s="12" t="str">
        <f t="shared" si="1"/>
        <v>#VALUE!</v>
      </c>
      <c r="E74" s="12" t="str">
        <f t="shared" si="2"/>
        <v>#VALUE!</v>
      </c>
      <c r="F74" s="44" t="str">
        <f t="shared" si="3"/>
        <v/>
      </c>
      <c r="G74" s="19"/>
    </row>
    <row r="75">
      <c r="A75" s="44" t="str">
        <f>IFERROR(VLOOKUP(B75, DataBase!A:O, 7, FALSE), "No Order Found")</f>
        <v>No Order Found</v>
      </c>
      <c r="B75" s="44" t="str">
        <f>Orders!B37</f>
        <v/>
      </c>
      <c r="C75" s="44" t="str">
        <f>IFERROR(VLOOKUP(B75, DataBase!A:O, 2, FALSE), "No Order Found")</f>
        <v>No Order Found</v>
      </c>
      <c r="D75" s="12" t="str">
        <f t="shared" si="1"/>
        <v>#VALUE!</v>
      </c>
      <c r="E75" s="12" t="str">
        <f t="shared" si="2"/>
        <v>#VALUE!</v>
      </c>
      <c r="F75" s="44" t="str">
        <f t="shared" si="3"/>
        <v/>
      </c>
      <c r="G75" s="19"/>
    </row>
    <row r="76">
      <c r="A76" s="44" t="str">
        <f>IFERROR(VLOOKUP(B76, DataBase!A:O, 7, FALSE), "No Order Found")</f>
        <v>No Order Found</v>
      </c>
      <c r="B76" s="44" t="str">
        <f>Orders!B38</f>
        <v/>
      </c>
      <c r="C76" s="44" t="str">
        <f>IFERROR(VLOOKUP(B76, DataBase!A:O, 2, FALSE), "No Order Found")</f>
        <v>No Order Found</v>
      </c>
      <c r="D76" s="12" t="str">
        <f t="shared" si="1"/>
        <v>#VALUE!</v>
      </c>
      <c r="E76" s="12" t="str">
        <f t="shared" si="2"/>
        <v>#VALUE!</v>
      </c>
      <c r="F76" s="44" t="str">
        <f t="shared" si="3"/>
        <v/>
      </c>
      <c r="G76" s="19"/>
    </row>
    <row r="77">
      <c r="A77" s="44" t="str">
        <f>IFERROR(VLOOKUP(B77, DataBase!A:O, 7, FALSE), "No Order Found")</f>
        <v>No Order Found</v>
      </c>
      <c r="B77" s="44" t="str">
        <f>Orders!B39</f>
        <v/>
      </c>
      <c r="C77" s="44" t="str">
        <f>IFERROR(VLOOKUP(B77, DataBase!A:O, 2, FALSE), "No Order Found")</f>
        <v>No Order Found</v>
      </c>
      <c r="D77" s="12" t="str">
        <f t="shared" si="1"/>
        <v>#VALUE!</v>
      </c>
      <c r="E77" s="12" t="str">
        <f t="shared" si="2"/>
        <v>#VALUE!</v>
      </c>
      <c r="F77" s="44" t="str">
        <f t="shared" si="3"/>
        <v/>
      </c>
      <c r="G77" s="19"/>
    </row>
    <row r="78">
      <c r="A78" s="44" t="str">
        <f>IFERROR(VLOOKUP(B78, DataBase!A:O, 7, FALSE), "No Order Found")</f>
        <v>No Order Found</v>
      </c>
      <c r="B78" s="44" t="str">
        <f t="shared" ref="B78:B88" si="4">#REF!</f>
        <v>#REF!</v>
      </c>
      <c r="C78" s="44" t="str">
        <f>IFERROR(VLOOKUP(B78, DataBase!A:O, 2, FALSE), "No Order Found")</f>
        <v>No Order Found</v>
      </c>
      <c r="D78" s="12" t="str">
        <f t="shared" si="1"/>
        <v>#VALUE!</v>
      </c>
      <c r="E78" s="12" t="str">
        <f t="shared" si="2"/>
        <v>#VALUE!</v>
      </c>
      <c r="F78" s="44" t="str">
        <f t="shared" si="3"/>
        <v/>
      </c>
      <c r="G78" s="19"/>
    </row>
    <row r="79">
      <c r="A79" s="44" t="str">
        <f>IFERROR(VLOOKUP(B79, DataBase!A:O, 7, FALSE), "No Order Found")</f>
        <v>No Order Found</v>
      </c>
      <c r="B79" s="44" t="str">
        <f t="shared" si="4"/>
        <v>#REF!</v>
      </c>
      <c r="C79" s="44" t="str">
        <f>IFERROR(VLOOKUP(B79, DataBase!A:O, 2, FALSE), "No Order Found")</f>
        <v>No Order Found</v>
      </c>
      <c r="D79" s="12" t="str">
        <f t="shared" si="1"/>
        <v>#VALUE!</v>
      </c>
      <c r="E79" s="12" t="str">
        <f t="shared" si="2"/>
        <v>#VALUE!</v>
      </c>
      <c r="F79" s="44" t="str">
        <f t="shared" si="3"/>
        <v/>
      </c>
      <c r="G79" s="19"/>
    </row>
    <row r="80">
      <c r="A80" s="44" t="str">
        <f>IFERROR(VLOOKUP(B80, DataBase!A:O, 7, FALSE), "No Order Found")</f>
        <v>No Order Found</v>
      </c>
      <c r="B80" s="44" t="str">
        <f t="shared" si="4"/>
        <v>#REF!</v>
      </c>
      <c r="C80" s="44" t="str">
        <f>IFERROR(VLOOKUP(B80, DataBase!A:O, 2, FALSE), "No Order Found")</f>
        <v>No Order Found</v>
      </c>
      <c r="D80" s="12" t="str">
        <f t="shared" si="1"/>
        <v>#VALUE!</v>
      </c>
      <c r="E80" s="12" t="str">
        <f t="shared" si="2"/>
        <v>#VALUE!</v>
      </c>
      <c r="F80" s="44" t="str">
        <f t="shared" si="3"/>
        <v/>
      </c>
    </row>
    <row r="81">
      <c r="A81" s="44" t="str">
        <f>IFERROR(VLOOKUP(B81, DataBase!A:O, 7, FALSE), "No Order Found")</f>
        <v>No Order Found</v>
      </c>
      <c r="B81" s="44" t="str">
        <f t="shared" si="4"/>
        <v>#REF!</v>
      </c>
      <c r="C81" s="44" t="str">
        <f>IFERROR(VLOOKUP(B81, DataBase!A:O, 2, FALSE), "No Order Found")</f>
        <v>No Order Found</v>
      </c>
      <c r="D81" s="12" t="str">
        <f t="shared" si="1"/>
        <v>#VALUE!</v>
      </c>
      <c r="E81" s="12" t="str">
        <f t="shared" si="2"/>
        <v>#VALUE!</v>
      </c>
      <c r="F81" s="44" t="str">
        <f t="shared" si="3"/>
        <v/>
      </c>
    </row>
    <row r="82">
      <c r="A82" s="44" t="str">
        <f>IFERROR(VLOOKUP(B82, DataBase!A:O, 7, FALSE), "No Order Found")</f>
        <v>No Order Found</v>
      </c>
      <c r="B82" s="44" t="str">
        <f t="shared" si="4"/>
        <v>#REF!</v>
      </c>
      <c r="C82" s="44" t="str">
        <f>IFERROR(VLOOKUP(B82, DataBase!A:O, 2, FALSE), "No Order Found")</f>
        <v>No Order Found</v>
      </c>
      <c r="D82" s="12" t="str">
        <f t="shared" si="1"/>
        <v>#VALUE!</v>
      </c>
      <c r="E82" s="12" t="str">
        <f t="shared" si="2"/>
        <v>#VALUE!</v>
      </c>
      <c r="F82" s="44" t="str">
        <f t="shared" si="3"/>
        <v/>
      </c>
    </row>
    <row r="83">
      <c r="A83" s="44" t="str">
        <f>IFERROR(VLOOKUP(B83, DataBase!A:O, 7, FALSE), "No Order Found")</f>
        <v>No Order Found</v>
      </c>
      <c r="B83" s="44" t="str">
        <f t="shared" si="4"/>
        <v>#REF!</v>
      </c>
      <c r="C83" s="44" t="str">
        <f>IFERROR(VLOOKUP(B83, DataBase!A:O, 2, FALSE), "No Order Found")</f>
        <v>No Order Found</v>
      </c>
      <c r="D83" s="12" t="str">
        <f t="shared" si="1"/>
        <v>#VALUE!</v>
      </c>
      <c r="E83" s="12" t="str">
        <f t="shared" si="2"/>
        <v>#VALUE!</v>
      </c>
      <c r="F83" s="44" t="str">
        <f t="shared" si="3"/>
        <v/>
      </c>
    </row>
    <row r="84">
      <c r="B84" s="44" t="str">
        <f t="shared" si="4"/>
        <v>#REF!</v>
      </c>
    </row>
    <row r="85">
      <c r="B85" s="44" t="str">
        <f t="shared" si="4"/>
        <v>#REF!</v>
      </c>
    </row>
    <row r="86">
      <c r="B86" s="44" t="str">
        <f t="shared" si="4"/>
        <v>#REF!</v>
      </c>
    </row>
    <row r="87">
      <c r="B87" s="44" t="str">
        <f t="shared" si="4"/>
        <v>#REF!</v>
      </c>
    </row>
    <row r="88">
      <c r="B88" s="44" t="str">
        <f t="shared" si="4"/>
        <v>#REF!</v>
      </c>
    </row>
    <row r="89">
      <c r="B89" s="44" t="str">
        <f>Orders!B2</f>
        <v/>
      </c>
    </row>
    <row r="90">
      <c r="B90" s="44" t="str">
        <f>Orders!B3</f>
        <v/>
      </c>
    </row>
    <row r="91">
      <c r="B91" s="44" t="str">
        <f>Orders!B4</f>
        <v/>
      </c>
    </row>
    <row r="92">
      <c r="B92" s="44" t="str">
        <f>Orders!B5</f>
        <v/>
      </c>
    </row>
    <row r="93">
      <c r="B93" s="44" t="str">
        <f>Orders!B6</f>
        <v/>
      </c>
    </row>
    <row r="94">
      <c r="B94" s="44" t="str">
        <f>Orders!B7</f>
        <v/>
      </c>
    </row>
    <row r="95">
      <c r="B95" s="44" t="str">
        <f>Orders!B8</f>
        <v/>
      </c>
    </row>
    <row r="96">
      <c r="B96" s="44" t="str">
        <f>Orders!B9</f>
        <v/>
      </c>
    </row>
    <row r="97">
      <c r="B97" s="44" t="str">
        <f>Orders!B10</f>
        <v/>
      </c>
    </row>
    <row r="98">
      <c r="B98" s="44" t="str">
        <f>Orders!B11</f>
        <v/>
      </c>
    </row>
    <row r="99">
      <c r="B99" s="44" t="str">
        <f>Orders!B12</f>
        <v/>
      </c>
    </row>
    <row r="100">
      <c r="B100" s="44" t="str">
        <f>Orders!B13</f>
        <v/>
      </c>
    </row>
    <row r="101">
      <c r="B101" s="44" t="str">
        <f>Orders!B14</f>
        <v/>
      </c>
    </row>
    <row r="102">
      <c r="B102" s="44" t="str">
        <f>Orders!B15</f>
        <v/>
      </c>
    </row>
    <row r="103">
      <c r="B103" s="44" t="str">
        <f>Orders!B16</f>
        <v/>
      </c>
    </row>
    <row r="104">
      <c r="B104" s="44" t="str">
        <f>Orders!B17</f>
        <v/>
      </c>
    </row>
    <row r="105">
      <c r="B105" s="44" t="str">
        <f>Orders!B18</f>
        <v/>
      </c>
    </row>
    <row r="106">
      <c r="B106" s="44" t="str">
        <f>Orders!B19</f>
        <v/>
      </c>
    </row>
    <row r="107">
      <c r="B107" s="44" t="str">
        <f>Orders!B20</f>
        <v/>
      </c>
    </row>
    <row r="108">
      <c r="B108" s="44" t="str">
        <f>Orders!B21</f>
        <v/>
      </c>
    </row>
    <row r="109">
      <c r="B109" s="44" t="str">
        <f>Orders!B22</f>
        <v/>
      </c>
    </row>
    <row r="110">
      <c r="B110" s="44" t="str">
        <f t="shared" ref="B110:B127" si="5">#REF!</f>
        <v>#REF!</v>
      </c>
    </row>
    <row r="111">
      <c r="B111" s="44" t="str">
        <f t="shared" si="5"/>
        <v>#REF!</v>
      </c>
    </row>
    <row r="112">
      <c r="B112" s="44" t="str">
        <f t="shared" si="5"/>
        <v>#REF!</v>
      </c>
    </row>
    <row r="113">
      <c r="B113" s="12" t="str">
        <f t="shared" si="5"/>
        <v>#REF!</v>
      </c>
    </row>
    <row r="114">
      <c r="B114" s="12" t="str">
        <f t="shared" si="5"/>
        <v>#REF!</v>
      </c>
    </row>
    <row r="115">
      <c r="B115" s="12" t="str">
        <f t="shared" si="5"/>
        <v>#REF!</v>
      </c>
    </row>
    <row r="116">
      <c r="B116" s="12" t="str">
        <f t="shared" si="5"/>
        <v>#REF!</v>
      </c>
    </row>
    <row r="117">
      <c r="B117" s="12" t="str">
        <f t="shared" si="5"/>
        <v>#REF!</v>
      </c>
    </row>
    <row r="118">
      <c r="B118" s="12" t="str">
        <f t="shared" si="5"/>
        <v>#REF!</v>
      </c>
    </row>
    <row r="119">
      <c r="B119" s="12" t="str">
        <f t="shared" si="5"/>
        <v>#REF!</v>
      </c>
    </row>
    <row r="120">
      <c r="B120" s="12" t="str">
        <f t="shared" si="5"/>
        <v>#REF!</v>
      </c>
    </row>
    <row r="121">
      <c r="B121" s="12" t="str">
        <f t="shared" si="5"/>
        <v>#REF!</v>
      </c>
    </row>
    <row r="122">
      <c r="B122" s="12" t="str">
        <f t="shared" si="5"/>
        <v>#REF!</v>
      </c>
    </row>
    <row r="123">
      <c r="B123" s="12" t="str">
        <f t="shared" si="5"/>
        <v>#REF!</v>
      </c>
    </row>
    <row r="124">
      <c r="B124" s="12" t="str">
        <f t="shared" si="5"/>
        <v>#REF!</v>
      </c>
    </row>
    <row r="125">
      <c r="B125" s="12" t="str">
        <f t="shared" si="5"/>
        <v>#REF!</v>
      </c>
    </row>
    <row r="126">
      <c r="B126" s="12" t="str">
        <f t="shared" si="5"/>
        <v>#REF!</v>
      </c>
    </row>
    <row r="127">
      <c r="B127" s="12" t="str">
        <f t="shared" si="5"/>
        <v>#REF!</v>
      </c>
    </row>
  </sheetData>
  <autoFilter ref="$A$1:$O$83"/>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57"/>
    <col customWidth="1" min="2" max="2" width="11.14"/>
    <col customWidth="1" min="3" max="3" width="21.14"/>
    <col customWidth="1" min="4" max="4" width="19.57"/>
  </cols>
  <sheetData>
    <row r="1">
      <c r="A1" s="12" t="s">
        <v>1327</v>
      </c>
      <c r="B1" s="12" t="s">
        <v>1328</v>
      </c>
      <c r="C1" s="12" t="s">
        <v>1329</v>
      </c>
      <c r="D1" s="12" t="s">
        <v>10</v>
      </c>
    </row>
    <row r="2">
      <c r="A2" s="19">
        <v>1.0</v>
      </c>
      <c r="B2" s="19">
        <v>10.0</v>
      </c>
      <c r="C2" s="20" t="str">
        <f>HYPERLINK("https://www.google.com/maps/dir/24.488376387234172,54.36703744083892/24.476906066431106,54.367972972393915/24.4839877,54.3736343/24.4907523,54.4000173/24.413685,54.495136/24.405996821373577,54.517312166606/24.4018107,54.519146/24.396056135766734,54.566077"&amp;"9698686/24.3795837,54.6433836/24.32160286901728,54.62401405136186","Open Route 1")</f>
        <v>Open Route 1</v>
      </c>
      <c r="D2" s="12" t="s">
        <v>1330</v>
      </c>
    </row>
    <row r="3">
      <c r="A3" s="19">
        <v>2.0</v>
      </c>
      <c r="B3" s="19">
        <v>1.0</v>
      </c>
      <c r="C3" s="20" t="str">
        <f>HYPERLINK("https://www.google.com/maps/dir/24.333568155473717,54.71084769152754","Open Route 2")</f>
        <v>Open Route 2</v>
      </c>
      <c r="D3" s="12" t="s">
        <v>1331</v>
      </c>
    </row>
    <row r="4">
      <c r="C4" s="48"/>
      <c r="D4" s="48"/>
    </row>
    <row r="5">
      <c r="C5" s="48"/>
      <c r="D5" s="48"/>
    </row>
    <row r="6">
      <c r="C6" s="48"/>
      <c r="D6" s="48"/>
    </row>
    <row r="7">
      <c r="C7" s="48"/>
      <c r="D7" s="4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0"/>
    <col customWidth="1" min="2" max="2" width="14.71"/>
    <col customWidth="1" min="3" max="3" width="43.57"/>
    <col customWidth="1" min="4" max="4" width="11.43"/>
    <col customWidth="1" min="5" max="5" width="19.86"/>
    <col customWidth="1" min="6" max="6" width="23.43"/>
    <col customWidth="1" min="7" max="7" width="35.86"/>
    <col customWidth="1" min="8" max="8" width="36.43"/>
    <col customWidth="1" min="9" max="26" width="8.71"/>
  </cols>
  <sheetData>
    <row r="1" ht="14.25" customHeight="1">
      <c r="A1" s="39" t="s">
        <v>1282</v>
      </c>
      <c r="B1" s="39" t="s">
        <v>1283</v>
      </c>
      <c r="C1" s="39" t="s">
        <v>1284</v>
      </c>
      <c r="D1" s="40" t="s">
        <v>1</v>
      </c>
      <c r="E1" s="41" t="s">
        <v>2</v>
      </c>
      <c r="F1" s="40" t="s">
        <v>1285</v>
      </c>
      <c r="G1" s="40" t="s">
        <v>1286</v>
      </c>
      <c r="H1" s="40" t="s">
        <v>1285</v>
      </c>
      <c r="I1" s="39"/>
      <c r="J1" s="39"/>
      <c r="K1" s="39"/>
      <c r="L1" s="39"/>
      <c r="M1" s="39"/>
      <c r="N1" s="39"/>
      <c r="O1" s="39"/>
      <c r="P1" s="39"/>
      <c r="Q1" s="39"/>
      <c r="R1" s="39"/>
      <c r="S1" s="39"/>
      <c r="T1" s="39"/>
      <c r="U1" s="39"/>
      <c r="V1" s="39"/>
      <c r="W1" s="39"/>
      <c r="X1" s="39"/>
      <c r="Y1" s="39"/>
      <c r="Z1" s="39"/>
    </row>
    <row r="2" ht="14.25" customHeight="1">
      <c r="A2" s="12" t="s">
        <v>1332</v>
      </c>
      <c r="B2" s="12" t="s">
        <v>851</v>
      </c>
      <c r="C2" s="43" t="s">
        <v>1333</v>
      </c>
      <c r="D2" s="43" t="s">
        <v>852</v>
      </c>
      <c r="E2" s="29" t="s">
        <v>853</v>
      </c>
      <c r="F2" s="24">
        <v>46148.84780092593</v>
      </c>
      <c r="G2" s="43" t="s">
        <v>1289</v>
      </c>
      <c r="H2" s="24">
        <v>46154.866944444446</v>
      </c>
      <c r="J2" s="20" t="s">
        <v>856</v>
      </c>
      <c r="O2" s="12" t="s">
        <v>1334</v>
      </c>
    </row>
    <row r="3" ht="14.25" customHeight="1">
      <c r="A3" s="12" t="s">
        <v>1335</v>
      </c>
      <c r="B3" s="12" t="s">
        <v>895</v>
      </c>
      <c r="C3" s="43" t="s">
        <v>1336</v>
      </c>
      <c r="D3" s="43" t="s">
        <v>896</v>
      </c>
      <c r="E3" s="29" t="s">
        <v>897</v>
      </c>
      <c r="F3" s="24">
        <v>46152.75236111111</v>
      </c>
      <c r="G3" s="43" t="s">
        <v>1289</v>
      </c>
      <c r="H3" s="24">
        <v>46156.3149537037</v>
      </c>
      <c r="J3" s="20" t="s">
        <v>899</v>
      </c>
      <c r="O3" s="12" t="s">
        <v>1334</v>
      </c>
    </row>
    <row r="4" ht="14.25" customHeight="1">
      <c r="A4" s="12" t="s">
        <v>1337</v>
      </c>
      <c r="B4" s="12" t="s">
        <v>781</v>
      </c>
      <c r="C4" s="43" t="s">
        <v>1338</v>
      </c>
      <c r="D4" s="43" t="s">
        <v>782</v>
      </c>
      <c r="E4" s="29" t="s">
        <v>783</v>
      </c>
      <c r="F4" s="24">
        <v>46153.96513888889</v>
      </c>
      <c r="G4" s="43" t="s">
        <v>1289</v>
      </c>
      <c r="H4" s="24">
        <v>46156.68855324074</v>
      </c>
      <c r="J4" s="20" t="s">
        <v>786</v>
      </c>
      <c r="O4" s="12" t="s">
        <v>1334</v>
      </c>
    </row>
    <row r="5" ht="14.25" customHeight="1">
      <c r="A5" s="12" t="s">
        <v>1339</v>
      </c>
      <c r="B5" s="12" t="s">
        <v>1075</v>
      </c>
      <c r="C5" s="43" t="s">
        <v>1340</v>
      </c>
      <c r="D5" s="43" t="s">
        <v>1076</v>
      </c>
      <c r="E5" s="29" t="s">
        <v>1077</v>
      </c>
      <c r="F5" s="24">
        <v>46154.50152777778</v>
      </c>
      <c r="G5" s="43" t="s">
        <v>1293</v>
      </c>
      <c r="H5" s="24">
        <v>46154.50152777778</v>
      </c>
      <c r="J5" s="20" t="s">
        <v>1080</v>
      </c>
      <c r="O5" s="12" t="s">
        <v>1334</v>
      </c>
    </row>
    <row r="6" ht="14.25" customHeight="1">
      <c r="A6" s="12" t="s">
        <v>1341</v>
      </c>
      <c r="B6" s="12" t="s">
        <v>372</v>
      </c>
      <c r="C6" s="43" t="s">
        <v>1342</v>
      </c>
      <c r="D6" s="43" t="s">
        <v>373</v>
      </c>
      <c r="E6" s="29" t="s">
        <v>374</v>
      </c>
      <c r="F6" s="24">
        <v>46154.63413194445</v>
      </c>
      <c r="G6" s="43" t="s">
        <v>1289</v>
      </c>
      <c r="H6" s="24">
        <v>46159.22170138889</v>
      </c>
      <c r="J6" s="20" t="s">
        <v>377</v>
      </c>
      <c r="O6" s="12" t="s">
        <v>1334</v>
      </c>
    </row>
    <row r="7" ht="14.25" customHeight="1">
      <c r="A7" s="12" t="s">
        <v>1343</v>
      </c>
      <c r="B7" s="12" t="s">
        <v>39</v>
      </c>
      <c r="C7" s="43" t="s">
        <v>1344</v>
      </c>
      <c r="D7" s="43" t="s">
        <v>40</v>
      </c>
      <c r="E7" s="29" t="s">
        <v>41</v>
      </c>
      <c r="F7" s="24">
        <v>46154.661678240744</v>
      </c>
      <c r="G7" s="43" t="s">
        <v>1293</v>
      </c>
      <c r="H7" s="24">
        <v>46154.661678240744</v>
      </c>
      <c r="J7" s="20" t="s">
        <v>44</v>
      </c>
      <c r="O7" s="12" t="s">
        <v>1334</v>
      </c>
    </row>
    <row r="8" ht="14.25" customHeight="1">
      <c r="A8" s="12" t="s">
        <v>1345</v>
      </c>
      <c r="B8" s="12" t="s">
        <v>916</v>
      </c>
      <c r="C8" s="43" t="s">
        <v>1346</v>
      </c>
      <c r="D8" s="12" t="s">
        <v>917</v>
      </c>
      <c r="E8" s="29" t="s">
        <v>918</v>
      </c>
      <c r="F8" s="24">
        <v>46154.84269675926</v>
      </c>
      <c r="G8" s="43" t="s">
        <v>1289</v>
      </c>
      <c r="H8" s="24">
        <v>46155.01666666667</v>
      </c>
      <c r="J8" s="20" t="s">
        <v>920</v>
      </c>
      <c r="O8" s="12" t="s">
        <v>1334</v>
      </c>
    </row>
    <row r="9" ht="14.25" customHeight="1">
      <c r="A9" s="12" t="s">
        <v>1347</v>
      </c>
      <c r="B9" s="12" t="s">
        <v>500</v>
      </c>
      <c r="C9" s="43" t="s">
        <v>1348</v>
      </c>
      <c r="D9" s="12" t="s">
        <v>501</v>
      </c>
      <c r="E9" s="29" t="s">
        <v>502</v>
      </c>
      <c r="F9" s="24">
        <v>46155.56886574074</v>
      </c>
      <c r="G9" s="43" t="s">
        <v>1289</v>
      </c>
      <c r="H9" s="24">
        <v>46156.60054398148</v>
      </c>
      <c r="J9" s="20" t="s">
        <v>504</v>
      </c>
      <c r="O9" s="12" t="s">
        <v>1334</v>
      </c>
    </row>
    <row r="10" ht="14.25" customHeight="1">
      <c r="A10" s="12" t="s">
        <v>1349</v>
      </c>
      <c r="B10" s="12" t="s">
        <v>422</v>
      </c>
      <c r="C10" s="43" t="s">
        <v>1350</v>
      </c>
      <c r="D10" s="43" t="s">
        <v>423</v>
      </c>
      <c r="E10" s="29" t="s">
        <v>424</v>
      </c>
      <c r="F10" s="24">
        <v>46155.87603009259</v>
      </c>
      <c r="G10" s="43" t="s">
        <v>1289</v>
      </c>
      <c r="H10" s="24">
        <v>46160.762083333335</v>
      </c>
      <c r="J10" s="20" t="s">
        <v>427</v>
      </c>
      <c r="O10" s="12" t="s">
        <v>1334</v>
      </c>
    </row>
    <row r="11" ht="14.25" customHeight="1">
      <c r="A11" s="12" t="s">
        <v>1351</v>
      </c>
      <c r="B11" s="12" t="s">
        <v>977</v>
      </c>
      <c r="C11" s="43" t="s">
        <v>1352</v>
      </c>
      <c r="D11" s="43" t="s">
        <v>978</v>
      </c>
      <c r="E11" s="29" t="s">
        <v>979</v>
      </c>
      <c r="F11" s="24">
        <v>46155.91359953704</v>
      </c>
      <c r="G11" s="43" t="s">
        <v>1289</v>
      </c>
      <c r="H11" s="24">
        <v>46156.44598379629</v>
      </c>
      <c r="J11" s="20" t="s">
        <v>982</v>
      </c>
      <c r="O11" s="12" t="s">
        <v>1334</v>
      </c>
    </row>
    <row r="12" ht="14.25" customHeight="1">
      <c r="A12" s="12" t="s">
        <v>1353</v>
      </c>
      <c r="B12" s="12" t="s">
        <v>401</v>
      </c>
      <c r="C12" s="43" t="s">
        <v>1354</v>
      </c>
      <c r="D12" s="12" t="s">
        <v>402</v>
      </c>
      <c r="E12" s="29" t="s">
        <v>403</v>
      </c>
      <c r="F12" s="24">
        <v>46157.579201388886</v>
      </c>
      <c r="G12" s="43" t="s">
        <v>1293</v>
      </c>
      <c r="H12" s="24">
        <v>46157.579201388886</v>
      </c>
      <c r="J12" s="20" t="s">
        <v>405</v>
      </c>
      <c r="O12" s="12" t="s">
        <v>1334</v>
      </c>
    </row>
    <row r="13" ht="14.25" customHeight="1">
      <c r="A13" s="12" t="s">
        <v>1355</v>
      </c>
      <c r="B13" s="12" t="s">
        <v>926</v>
      </c>
      <c r="C13" s="43" t="s">
        <v>1356</v>
      </c>
      <c r="D13" s="43" t="s">
        <v>927</v>
      </c>
      <c r="E13" s="29" t="s">
        <v>928</v>
      </c>
      <c r="F13" s="24">
        <v>46157.82712962963</v>
      </c>
      <c r="G13" s="43" t="s">
        <v>1293</v>
      </c>
      <c r="H13" s="24">
        <v>46157.82712962963</v>
      </c>
      <c r="J13" s="20" t="s">
        <v>930</v>
      </c>
      <c r="O13" s="12" t="s">
        <v>1334</v>
      </c>
    </row>
    <row r="14" ht="14.25" customHeight="1">
      <c r="A14" s="12" t="s">
        <v>1357</v>
      </c>
      <c r="B14" s="12" t="s">
        <v>203</v>
      </c>
      <c r="C14" s="43" t="s">
        <v>1358</v>
      </c>
      <c r="D14" s="12" t="s">
        <v>204</v>
      </c>
      <c r="E14" s="29" t="s">
        <v>205</v>
      </c>
      <c r="F14" s="24">
        <v>46158.38199074074</v>
      </c>
      <c r="G14" s="43" t="s">
        <v>1289</v>
      </c>
      <c r="H14" s="24">
        <v>46160.78858796296</v>
      </c>
      <c r="J14" s="20" t="s">
        <v>208</v>
      </c>
      <c r="O14" s="12" t="s">
        <v>1334</v>
      </c>
    </row>
    <row r="15" ht="14.25" customHeight="1">
      <c r="A15" s="12" t="s">
        <v>1359</v>
      </c>
      <c r="B15" s="12" t="s">
        <v>873</v>
      </c>
      <c r="C15" s="43" t="s">
        <v>1360</v>
      </c>
      <c r="D15" s="12" t="s">
        <v>874</v>
      </c>
      <c r="E15" s="29" t="s">
        <v>875</v>
      </c>
      <c r="F15" s="24">
        <v>46158.56778935185</v>
      </c>
      <c r="G15" s="43" t="s">
        <v>1289</v>
      </c>
      <c r="H15" s="24">
        <v>46158.570381944446</v>
      </c>
      <c r="J15" s="20" t="s">
        <v>877</v>
      </c>
      <c r="O15" s="12" t="s">
        <v>1334</v>
      </c>
    </row>
    <row r="16" ht="14.25" customHeight="1">
      <c r="A16" s="12" t="s">
        <v>1361</v>
      </c>
      <c r="B16" s="12" t="s">
        <v>573</v>
      </c>
      <c r="C16" s="43" t="s">
        <v>1362</v>
      </c>
      <c r="D16" s="12" t="s">
        <v>574</v>
      </c>
      <c r="E16" s="29" t="s">
        <v>575</v>
      </c>
      <c r="F16" s="24">
        <v>46159.39134259259</v>
      </c>
      <c r="G16" s="43" t="s">
        <v>1293</v>
      </c>
      <c r="H16" s="24">
        <v>46159.39134259259</v>
      </c>
      <c r="J16" s="20" t="s">
        <v>578</v>
      </c>
      <c r="O16" s="12" t="s">
        <v>1334</v>
      </c>
    </row>
    <row r="17" ht="14.25" customHeight="1">
      <c r="A17" s="12" t="s">
        <v>1363</v>
      </c>
      <c r="B17" s="12" t="s">
        <v>937</v>
      </c>
      <c r="C17" s="43" t="s">
        <v>1364</v>
      </c>
      <c r="D17" s="12" t="s">
        <v>938</v>
      </c>
      <c r="E17" s="29" t="s">
        <v>939</v>
      </c>
      <c r="F17" s="24">
        <v>46159.43146990741</v>
      </c>
      <c r="G17" s="43" t="s">
        <v>1293</v>
      </c>
      <c r="H17" s="24">
        <v>46159.43146990741</v>
      </c>
      <c r="J17" s="20" t="s">
        <v>941</v>
      </c>
      <c r="O17" s="12" t="s">
        <v>1334</v>
      </c>
    </row>
    <row r="18" ht="14.25" customHeight="1">
      <c r="A18" s="12" t="s">
        <v>1365</v>
      </c>
      <c r="B18" s="12" t="s">
        <v>807</v>
      </c>
      <c r="C18" s="43" t="s">
        <v>1366</v>
      </c>
      <c r="D18" s="12" t="s">
        <v>808</v>
      </c>
      <c r="E18" s="29" t="s">
        <v>809</v>
      </c>
      <c r="F18" s="24">
        <v>46159.516018518516</v>
      </c>
      <c r="G18" s="43" t="s">
        <v>1293</v>
      </c>
      <c r="H18" s="24">
        <v>46159.516018518516</v>
      </c>
      <c r="J18" s="20" t="s">
        <v>812</v>
      </c>
      <c r="O18" s="12" t="s">
        <v>1334</v>
      </c>
    </row>
    <row r="19" ht="14.25" customHeight="1">
      <c r="A19" s="12" t="s">
        <v>1367</v>
      </c>
      <c r="B19" s="12" t="s">
        <v>27</v>
      </c>
      <c r="C19" s="43" t="s">
        <v>1368</v>
      </c>
      <c r="D19" s="12" t="s">
        <v>28</v>
      </c>
      <c r="E19" s="29" t="s">
        <v>29</v>
      </c>
      <c r="F19" s="24">
        <v>46159.79824074074</v>
      </c>
      <c r="G19" s="43" t="s">
        <v>1289</v>
      </c>
      <c r="H19" s="24">
        <v>46160.77637731482</v>
      </c>
      <c r="J19" s="20" t="s">
        <v>32</v>
      </c>
      <c r="O19" s="12" t="s">
        <v>1334</v>
      </c>
    </row>
    <row r="20" ht="14.25" customHeight="1">
      <c r="A20" s="12" t="s">
        <v>1369</v>
      </c>
      <c r="B20" s="12" t="s">
        <v>1240</v>
      </c>
      <c r="C20" s="43" t="s">
        <v>1370</v>
      </c>
      <c r="D20" s="43" t="s">
        <v>1241</v>
      </c>
      <c r="E20" s="29" t="s">
        <v>1242</v>
      </c>
      <c r="F20" s="24">
        <v>46160.74400462963</v>
      </c>
      <c r="G20" s="43" t="s">
        <v>1293</v>
      </c>
      <c r="H20" s="24">
        <v>46160.74400462963</v>
      </c>
      <c r="J20" s="20" t="s">
        <v>1245</v>
      </c>
      <c r="O20" s="12" t="s">
        <v>1334</v>
      </c>
    </row>
    <row r="21" ht="14.25" customHeight="1">
      <c r="A21" s="12" t="s">
        <v>1371</v>
      </c>
      <c r="B21" s="12" t="s">
        <v>1246</v>
      </c>
      <c r="C21" s="43" t="s">
        <v>1372</v>
      </c>
      <c r="D21" s="43" t="s">
        <v>1247</v>
      </c>
      <c r="E21" s="29" t="s">
        <v>1248</v>
      </c>
      <c r="F21" s="24">
        <v>46160.75582175926</v>
      </c>
      <c r="G21" s="43" t="s">
        <v>1293</v>
      </c>
      <c r="H21" s="24">
        <v>46160.75582175926</v>
      </c>
      <c r="J21" s="20" t="s">
        <v>1251</v>
      </c>
      <c r="O21" s="12" t="s">
        <v>1334</v>
      </c>
    </row>
    <row r="22" ht="14.25" customHeight="1">
      <c r="A22" s="12" t="s">
        <v>1373</v>
      </c>
      <c r="B22" s="12" t="s">
        <v>1252</v>
      </c>
      <c r="C22" s="43" t="s">
        <v>1374</v>
      </c>
      <c r="D22" s="43" t="s">
        <v>1253</v>
      </c>
      <c r="E22" s="29" t="s">
        <v>1254</v>
      </c>
      <c r="F22" s="24">
        <v>46160.7962962963</v>
      </c>
      <c r="G22" s="43" t="s">
        <v>1293</v>
      </c>
      <c r="H22" s="24">
        <v>46160.7962962963</v>
      </c>
      <c r="J22" s="20" t="s">
        <v>1257</v>
      </c>
      <c r="O22" s="12" t="s">
        <v>1334</v>
      </c>
    </row>
    <row r="23" ht="14.25" customHeight="1">
      <c r="E23" s="42"/>
    </row>
    <row r="24" ht="14.25" customHeight="1">
      <c r="E24" s="42"/>
    </row>
    <row r="25" ht="14.25" customHeight="1">
      <c r="E25" s="42"/>
    </row>
    <row r="26" ht="14.25" customHeight="1">
      <c r="E26" s="42"/>
    </row>
    <row r="27" ht="14.25" customHeight="1">
      <c r="E27" s="42"/>
    </row>
    <row r="28" ht="14.25" customHeight="1">
      <c r="E28" s="42"/>
    </row>
    <row r="29" ht="14.25" customHeight="1">
      <c r="E29" s="42"/>
    </row>
    <row r="30" ht="14.25" customHeight="1">
      <c r="E30" s="42"/>
    </row>
    <row r="31" ht="14.25" customHeight="1">
      <c r="E31" s="42"/>
    </row>
    <row r="32" ht="14.25" customHeight="1">
      <c r="E32" s="42"/>
    </row>
    <row r="33" ht="14.25" customHeight="1">
      <c r="E33" s="42"/>
    </row>
    <row r="34" ht="14.25" customHeight="1">
      <c r="E34" s="42"/>
    </row>
    <row r="35" ht="14.25" customHeight="1">
      <c r="E35" s="42"/>
    </row>
    <row r="36" ht="14.25" customHeight="1">
      <c r="E36" s="42"/>
    </row>
    <row r="37" ht="14.25" customHeight="1">
      <c r="E37" s="42"/>
    </row>
    <row r="38" ht="14.25" customHeight="1">
      <c r="E38" s="42"/>
    </row>
    <row r="39" ht="14.25" customHeight="1">
      <c r="E39" s="42"/>
    </row>
    <row r="40" ht="14.25" customHeight="1">
      <c r="E40" s="42"/>
    </row>
    <row r="41" ht="14.25" customHeight="1">
      <c r="A41" s="39" t="s">
        <v>1282</v>
      </c>
      <c r="B41" s="39" t="s">
        <v>1283</v>
      </c>
      <c r="C41" s="39" t="s">
        <v>1284</v>
      </c>
      <c r="D41" s="40" t="s">
        <v>1</v>
      </c>
      <c r="E41" s="41" t="s">
        <v>2</v>
      </c>
      <c r="F41" s="40" t="s">
        <v>1285</v>
      </c>
      <c r="G41" s="40" t="s">
        <v>1286</v>
      </c>
      <c r="H41" s="40" t="s">
        <v>1285</v>
      </c>
      <c r="I41" s="39"/>
      <c r="J41" s="39"/>
      <c r="K41" s="39"/>
      <c r="L41" s="39"/>
      <c r="M41" s="39"/>
      <c r="N41" s="39"/>
      <c r="O41" s="39"/>
      <c r="P41" s="39"/>
      <c r="Q41" s="39"/>
      <c r="R41" s="39"/>
      <c r="S41" s="39"/>
      <c r="T41" s="39"/>
      <c r="U41" s="39"/>
      <c r="V41" s="39"/>
      <c r="W41" s="39"/>
      <c r="X41" s="39"/>
      <c r="Y41" s="39"/>
      <c r="Z41" s="39"/>
    </row>
    <row r="42" ht="14.25" customHeight="1">
      <c r="A42" s="12" t="s">
        <v>1375</v>
      </c>
      <c r="B42" s="12" t="s">
        <v>1258</v>
      </c>
      <c r="C42" s="43" t="s">
        <v>1376</v>
      </c>
      <c r="D42" s="43" t="s">
        <v>1259</v>
      </c>
      <c r="E42" s="29" t="s">
        <v>1260</v>
      </c>
      <c r="F42" s="24">
        <v>46160.98672453704</v>
      </c>
      <c r="G42" s="43" t="s">
        <v>1293</v>
      </c>
      <c r="H42" s="24">
        <v>46160.98672453704</v>
      </c>
      <c r="J42" s="20" t="s">
        <v>1263</v>
      </c>
      <c r="O42" s="12" t="s">
        <v>1334</v>
      </c>
    </row>
    <row r="43" ht="14.25" customHeight="1">
      <c r="A43" s="12" t="s">
        <v>1377</v>
      </c>
      <c r="B43" s="12" t="s">
        <v>1270</v>
      </c>
      <c r="C43" s="43" t="s">
        <v>1378</v>
      </c>
      <c r="D43" s="7" t="s">
        <v>1271</v>
      </c>
      <c r="E43" s="29" t="s">
        <v>1272</v>
      </c>
      <c r="F43" s="24">
        <v>46161.5584375</v>
      </c>
      <c r="G43" s="43" t="s">
        <v>1289</v>
      </c>
      <c r="H43" s="24">
        <v>46161.80258101852</v>
      </c>
      <c r="J43" s="20" t="s">
        <v>1275</v>
      </c>
      <c r="O43" s="12" t="s">
        <v>1334</v>
      </c>
    </row>
    <row r="44" ht="14.25" customHeight="1">
      <c r="A44" s="12" t="s">
        <v>1332</v>
      </c>
      <c r="B44" s="12" t="s">
        <v>851</v>
      </c>
      <c r="C44" s="43" t="s">
        <v>1333</v>
      </c>
      <c r="D44" s="43" t="s">
        <v>852</v>
      </c>
      <c r="E44" s="29" t="s">
        <v>853</v>
      </c>
      <c r="F44" s="24">
        <v>46148.84780092593</v>
      </c>
      <c r="G44" s="43" t="s">
        <v>1289</v>
      </c>
      <c r="H44" s="24">
        <v>46154.866944444446</v>
      </c>
      <c r="J44" s="20" t="s">
        <v>856</v>
      </c>
      <c r="O44" s="12" t="s">
        <v>1334</v>
      </c>
    </row>
    <row r="45" ht="14.25" customHeight="1">
      <c r="A45" s="12" t="s">
        <v>1335</v>
      </c>
      <c r="B45" s="12" t="s">
        <v>895</v>
      </c>
      <c r="C45" s="43" t="s">
        <v>1336</v>
      </c>
      <c r="D45" s="43" t="s">
        <v>896</v>
      </c>
      <c r="E45" s="29" t="s">
        <v>897</v>
      </c>
      <c r="F45" s="24">
        <v>46152.75236111111</v>
      </c>
      <c r="G45" s="43" t="s">
        <v>1289</v>
      </c>
      <c r="H45" s="24">
        <v>46156.3149537037</v>
      </c>
      <c r="J45" s="20" t="s">
        <v>899</v>
      </c>
      <c r="O45" s="12" t="s">
        <v>1334</v>
      </c>
    </row>
    <row r="46" ht="14.25" customHeight="1">
      <c r="A46" s="12" t="s">
        <v>1337</v>
      </c>
      <c r="B46" s="12" t="s">
        <v>781</v>
      </c>
      <c r="C46" s="43" t="s">
        <v>1338</v>
      </c>
      <c r="D46" s="43" t="s">
        <v>782</v>
      </c>
      <c r="E46" s="29" t="s">
        <v>783</v>
      </c>
      <c r="F46" s="24">
        <v>46153.96513888889</v>
      </c>
      <c r="G46" s="43" t="s">
        <v>1289</v>
      </c>
      <c r="H46" s="24">
        <v>46156.68855324074</v>
      </c>
      <c r="J46" s="20" t="s">
        <v>786</v>
      </c>
      <c r="O46" s="12" t="s">
        <v>1334</v>
      </c>
    </row>
    <row r="47" ht="14.25" customHeight="1">
      <c r="A47" s="12" t="s">
        <v>1339</v>
      </c>
      <c r="B47" s="12" t="s">
        <v>1075</v>
      </c>
      <c r="C47" s="43" t="s">
        <v>1340</v>
      </c>
      <c r="D47" s="43" t="s">
        <v>1076</v>
      </c>
      <c r="E47" s="29" t="s">
        <v>1077</v>
      </c>
      <c r="F47" s="24">
        <v>46154.50152777778</v>
      </c>
      <c r="G47" s="43" t="s">
        <v>1293</v>
      </c>
      <c r="H47" s="24">
        <v>46154.50152777778</v>
      </c>
      <c r="J47" s="20" t="s">
        <v>1080</v>
      </c>
      <c r="O47" s="12" t="s">
        <v>1334</v>
      </c>
    </row>
    <row r="48" ht="14.25" customHeight="1">
      <c r="A48" s="12" t="s">
        <v>1341</v>
      </c>
      <c r="B48" s="12" t="s">
        <v>372</v>
      </c>
      <c r="C48" s="43" t="s">
        <v>1342</v>
      </c>
      <c r="D48" s="43" t="s">
        <v>373</v>
      </c>
      <c r="E48" s="29" t="s">
        <v>374</v>
      </c>
      <c r="F48" s="24">
        <v>46154.63413194445</v>
      </c>
      <c r="G48" s="43" t="s">
        <v>1289</v>
      </c>
      <c r="H48" s="24">
        <v>46159.22170138889</v>
      </c>
      <c r="J48" s="20" t="s">
        <v>377</v>
      </c>
      <c r="O48" s="12" t="s">
        <v>1334</v>
      </c>
    </row>
    <row r="49" ht="14.25" customHeight="1">
      <c r="A49" s="12" t="s">
        <v>1343</v>
      </c>
      <c r="B49" s="12" t="s">
        <v>39</v>
      </c>
      <c r="C49" s="43" t="s">
        <v>1344</v>
      </c>
      <c r="D49" s="43" t="s">
        <v>40</v>
      </c>
      <c r="E49" s="29" t="s">
        <v>41</v>
      </c>
      <c r="F49" s="24">
        <v>46154.661678240744</v>
      </c>
      <c r="G49" s="43" t="s">
        <v>1293</v>
      </c>
      <c r="H49" s="24">
        <v>46154.661678240744</v>
      </c>
      <c r="J49" s="20" t="s">
        <v>44</v>
      </c>
      <c r="O49" s="12" t="s">
        <v>1334</v>
      </c>
    </row>
    <row r="50" ht="14.25" customHeight="1">
      <c r="A50" s="12" t="s">
        <v>1345</v>
      </c>
      <c r="B50" s="12" t="s">
        <v>916</v>
      </c>
      <c r="C50" s="43" t="s">
        <v>1346</v>
      </c>
      <c r="D50" s="12" t="s">
        <v>917</v>
      </c>
      <c r="E50" s="29" t="s">
        <v>918</v>
      </c>
      <c r="F50" s="24">
        <v>46154.84269675926</v>
      </c>
      <c r="G50" s="43" t="s">
        <v>1289</v>
      </c>
      <c r="H50" s="24">
        <v>46155.01666666667</v>
      </c>
      <c r="J50" s="20" t="s">
        <v>920</v>
      </c>
      <c r="O50" s="12" t="s">
        <v>1334</v>
      </c>
    </row>
    <row r="51" ht="14.25" customHeight="1">
      <c r="A51" s="12" t="s">
        <v>1349</v>
      </c>
      <c r="B51" s="12" t="s">
        <v>422</v>
      </c>
      <c r="C51" s="43" t="s">
        <v>1350</v>
      </c>
      <c r="D51" s="43" t="s">
        <v>423</v>
      </c>
      <c r="E51" s="29" t="s">
        <v>424</v>
      </c>
      <c r="F51" s="24">
        <v>46155.87603009259</v>
      </c>
      <c r="G51" s="43" t="s">
        <v>1289</v>
      </c>
      <c r="H51" s="24">
        <v>46160.762083333335</v>
      </c>
      <c r="J51" s="20" t="s">
        <v>427</v>
      </c>
      <c r="O51" s="12" t="s">
        <v>1334</v>
      </c>
    </row>
    <row r="52" ht="14.25" customHeight="1">
      <c r="A52" s="12" t="s">
        <v>1351</v>
      </c>
      <c r="B52" s="12" t="s">
        <v>977</v>
      </c>
      <c r="C52" s="43" t="s">
        <v>1352</v>
      </c>
      <c r="D52" s="43" t="s">
        <v>978</v>
      </c>
      <c r="E52" s="29" t="s">
        <v>979</v>
      </c>
      <c r="F52" s="24">
        <v>46155.91359953704</v>
      </c>
      <c r="G52" s="43" t="s">
        <v>1289</v>
      </c>
      <c r="H52" s="24">
        <v>46156.44598379629</v>
      </c>
      <c r="J52" s="20" t="s">
        <v>982</v>
      </c>
      <c r="O52" s="12" t="s">
        <v>1334</v>
      </c>
    </row>
    <row r="53" ht="14.25" customHeight="1">
      <c r="A53" s="12" t="s">
        <v>1353</v>
      </c>
      <c r="B53" s="12" t="s">
        <v>401</v>
      </c>
      <c r="C53" s="43" t="s">
        <v>1354</v>
      </c>
      <c r="D53" s="12" t="s">
        <v>402</v>
      </c>
      <c r="E53" s="29" t="s">
        <v>403</v>
      </c>
      <c r="F53" s="24">
        <v>46157.579201388886</v>
      </c>
      <c r="G53" s="43" t="s">
        <v>1293</v>
      </c>
      <c r="H53" s="24">
        <v>46157.579201388886</v>
      </c>
      <c r="J53" s="20" t="s">
        <v>405</v>
      </c>
      <c r="O53" s="12" t="s">
        <v>1334</v>
      </c>
    </row>
    <row r="54" ht="14.25" customHeight="1">
      <c r="A54" s="12" t="s">
        <v>1355</v>
      </c>
      <c r="B54" s="12" t="s">
        <v>926</v>
      </c>
      <c r="C54" s="43" t="s">
        <v>1356</v>
      </c>
      <c r="D54" s="43" t="s">
        <v>927</v>
      </c>
      <c r="E54" s="29" t="s">
        <v>928</v>
      </c>
      <c r="F54" s="24">
        <v>46157.82712962963</v>
      </c>
      <c r="G54" s="43" t="s">
        <v>1293</v>
      </c>
      <c r="H54" s="24">
        <v>46157.82712962963</v>
      </c>
      <c r="J54" s="20" t="s">
        <v>930</v>
      </c>
      <c r="O54" s="12" t="s">
        <v>1334</v>
      </c>
    </row>
    <row r="55" ht="14.25" customHeight="1">
      <c r="A55" s="12" t="s">
        <v>1357</v>
      </c>
      <c r="B55" s="12" t="s">
        <v>203</v>
      </c>
      <c r="C55" s="43" t="s">
        <v>1358</v>
      </c>
      <c r="D55" s="12" t="s">
        <v>204</v>
      </c>
      <c r="E55" s="29" t="s">
        <v>205</v>
      </c>
      <c r="F55" s="24">
        <v>46158.38199074074</v>
      </c>
      <c r="G55" s="43" t="s">
        <v>1289</v>
      </c>
      <c r="H55" s="24">
        <v>46160.78858796296</v>
      </c>
      <c r="J55" s="20" t="s">
        <v>208</v>
      </c>
      <c r="O55" s="12" t="s">
        <v>1334</v>
      </c>
    </row>
    <row r="56" ht="14.25" customHeight="1">
      <c r="A56" s="12" t="s">
        <v>1359</v>
      </c>
      <c r="B56" s="12" t="s">
        <v>873</v>
      </c>
      <c r="C56" s="43" t="s">
        <v>1360</v>
      </c>
      <c r="D56" s="12" t="s">
        <v>874</v>
      </c>
      <c r="E56" s="29" t="s">
        <v>875</v>
      </c>
      <c r="F56" s="24">
        <v>46158.56778935185</v>
      </c>
      <c r="G56" s="43" t="s">
        <v>1289</v>
      </c>
      <c r="H56" s="24">
        <v>46158.570381944446</v>
      </c>
      <c r="J56" s="20" t="s">
        <v>877</v>
      </c>
      <c r="O56" s="12" t="s">
        <v>1334</v>
      </c>
    </row>
    <row r="57" ht="14.25" customHeight="1">
      <c r="A57" s="12" t="s">
        <v>1361</v>
      </c>
      <c r="B57" s="12" t="s">
        <v>573</v>
      </c>
      <c r="C57" s="43" t="s">
        <v>1362</v>
      </c>
      <c r="D57" s="12" t="s">
        <v>574</v>
      </c>
      <c r="E57" s="29" t="s">
        <v>575</v>
      </c>
      <c r="F57" s="24">
        <v>46159.39134259259</v>
      </c>
      <c r="G57" s="43" t="s">
        <v>1293</v>
      </c>
      <c r="H57" s="24">
        <v>46159.39134259259</v>
      </c>
      <c r="J57" s="20" t="s">
        <v>578</v>
      </c>
      <c r="O57" s="12" t="s">
        <v>1334</v>
      </c>
    </row>
    <row r="58" ht="14.25" customHeight="1">
      <c r="A58" s="12" t="s">
        <v>1363</v>
      </c>
      <c r="B58" s="12" t="s">
        <v>937</v>
      </c>
      <c r="C58" s="43" t="s">
        <v>1364</v>
      </c>
      <c r="D58" s="12" t="s">
        <v>938</v>
      </c>
      <c r="E58" s="29" t="s">
        <v>939</v>
      </c>
      <c r="F58" s="24">
        <v>46159.43146990741</v>
      </c>
      <c r="G58" s="43" t="s">
        <v>1293</v>
      </c>
      <c r="H58" s="24">
        <v>46159.43146990741</v>
      </c>
      <c r="J58" s="20" t="s">
        <v>941</v>
      </c>
      <c r="O58" s="12" t="s">
        <v>1334</v>
      </c>
    </row>
    <row r="59" ht="14.25" customHeight="1">
      <c r="A59" s="12" t="s">
        <v>1365</v>
      </c>
      <c r="B59" s="12" t="s">
        <v>807</v>
      </c>
      <c r="C59" s="43" t="s">
        <v>1366</v>
      </c>
      <c r="D59" s="12" t="s">
        <v>808</v>
      </c>
      <c r="E59" s="29" t="s">
        <v>809</v>
      </c>
      <c r="F59" s="24">
        <v>46159.516018518516</v>
      </c>
      <c r="G59" s="43" t="s">
        <v>1293</v>
      </c>
      <c r="H59" s="24">
        <v>46159.516018518516</v>
      </c>
      <c r="J59" s="20" t="s">
        <v>812</v>
      </c>
      <c r="O59" s="12" t="s">
        <v>1334</v>
      </c>
    </row>
    <row r="60" ht="14.25" customHeight="1">
      <c r="A60" s="12" t="s">
        <v>1367</v>
      </c>
      <c r="B60" s="12" t="s">
        <v>27</v>
      </c>
      <c r="C60" s="43" t="s">
        <v>1368</v>
      </c>
      <c r="D60" s="12" t="s">
        <v>28</v>
      </c>
      <c r="E60" s="29" t="s">
        <v>29</v>
      </c>
      <c r="F60" s="24">
        <v>46159.79824074074</v>
      </c>
      <c r="G60" s="43" t="s">
        <v>1289</v>
      </c>
      <c r="H60" s="24">
        <v>46160.77637731482</v>
      </c>
      <c r="J60" s="20" t="s">
        <v>32</v>
      </c>
      <c r="O60" s="12" t="s">
        <v>1334</v>
      </c>
    </row>
    <row r="61" ht="14.25" customHeight="1">
      <c r="A61" s="12" t="s">
        <v>1369</v>
      </c>
      <c r="B61" s="12" t="s">
        <v>1240</v>
      </c>
      <c r="C61" s="43" t="s">
        <v>1370</v>
      </c>
      <c r="D61" s="43" t="s">
        <v>1241</v>
      </c>
      <c r="E61" s="29" t="s">
        <v>1242</v>
      </c>
      <c r="F61" s="24">
        <v>46160.74400462963</v>
      </c>
      <c r="G61" s="43" t="s">
        <v>1293</v>
      </c>
      <c r="H61" s="24">
        <v>46160.74400462963</v>
      </c>
      <c r="J61" s="20" t="s">
        <v>1245</v>
      </c>
      <c r="O61" s="12" t="s">
        <v>1334</v>
      </c>
    </row>
    <row r="62" ht="14.25" customHeight="1">
      <c r="A62" s="12" t="s">
        <v>1371</v>
      </c>
      <c r="B62" s="12" t="s">
        <v>1246</v>
      </c>
      <c r="C62" s="43" t="s">
        <v>1372</v>
      </c>
      <c r="D62" s="43" t="s">
        <v>1247</v>
      </c>
      <c r="E62" s="29" t="s">
        <v>1248</v>
      </c>
      <c r="F62" s="24">
        <v>46160.75582175926</v>
      </c>
      <c r="G62" s="43" t="s">
        <v>1293</v>
      </c>
      <c r="H62" s="24">
        <v>46160.75582175926</v>
      </c>
      <c r="J62" s="20" t="s">
        <v>1251</v>
      </c>
      <c r="O62" s="12" t="s">
        <v>1334</v>
      </c>
    </row>
    <row r="63" ht="14.25" customHeight="1">
      <c r="A63" s="12" t="s">
        <v>1373</v>
      </c>
      <c r="B63" s="12" t="s">
        <v>1252</v>
      </c>
      <c r="C63" s="43" t="s">
        <v>1374</v>
      </c>
      <c r="D63" s="43" t="s">
        <v>1253</v>
      </c>
      <c r="E63" s="29" t="s">
        <v>1254</v>
      </c>
      <c r="F63" s="24">
        <v>46160.7962962963</v>
      </c>
      <c r="G63" s="43" t="s">
        <v>1293</v>
      </c>
      <c r="H63" s="24">
        <v>46160.7962962963</v>
      </c>
      <c r="J63" s="20" t="s">
        <v>1257</v>
      </c>
      <c r="O63" s="12" t="s">
        <v>1334</v>
      </c>
    </row>
    <row r="64" ht="14.25" customHeight="1">
      <c r="E64" s="42"/>
    </row>
    <row r="65" ht="14.25" customHeight="1">
      <c r="E65" s="42"/>
    </row>
    <row r="66" ht="14.25" customHeight="1">
      <c r="E66" s="42"/>
    </row>
    <row r="67" ht="14.25" customHeight="1">
      <c r="E67" s="42"/>
    </row>
    <row r="68" ht="14.25" customHeight="1">
      <c r="E68" s="42"/>
    </row>
    <row r="69" ht="14.25" customHeight="1">
      <c r="E69" s="42"/>
    </row>
    <row r="70" ht="14.25" customHeight="1">
      <c r="E70" s="42"/>
    </row>
    <row r="71" ht="14.25" customHeight="1">
      <c r="E71" s="42"/>
    </row>
    <row r="72" ht="14.25" customHeight="1">
      <c r="E72" s="42"/>
    </row>
    <row r="73" ht="14.25" customHeight="1">
      <c r="E73" s="42"/>
    </row>
    <row r="74" ht="14.25" customHeight="1">
      <c r="E74" s="42"/>
    </row>
    <row r="75" ht="14.25" customHeight="1">
      <c r="E75" s="42"/>
    </row>
    <row r="76" ht="14.25" customHeight="1">
      <c r="E76" s="42"/>
    </row>
    <row r="77" ht="14.25" customHeight="1">
      <c r="E77" s="42"/>
    </row>
    <row r="78" ht="14.25" customHeight="1">
      <c r="E78" s="42"/>
    </row>
    <row r="79" ht="14.25" customHeight="1">
      <c r="E79" s="42"/>
    </row>
    <row r="80" ht="14.25" customHeight="1">
      <c r="E80" s="42"/>
    </row>
    <row r="81" ht="14.25" customHeight="1">
      <c r="E81" s="42"/>
    </row>
    <row r="82" ht="14.25" customHeight="1">
      <c r="E82" s="42"/>
    </row>
    <row r="83" ht="14.25" customHeight="1">
      <c r="E83" s="42"/>
    </row>
    <row r="84" ht="14.25" customHeight="1">
      <c r="E84" s="42"/>
    </row>
    <row r="85" ht="14.25" customHeight="1">
      <c r="E85" s="42"/>
    </row>
    <row r="86" ht="14.25" customHeight="1">
      <c r="E86" s="42"/>
    </row>
    <row r="87" ht="14.25" customHeight="1">
      <c r="E87" s="42"/>
    </row>
    <row r="88" ht="14.25" customHeight="1">
      <c r="E88" s="42"/>
    </row>
    <row r="89" ht="14.25" customHeight="1">
      <c r="E89" s="42"/>
    </row>
    <row r="90" ht="14.25" customHeight="1">
      <c r="E90" s="42"/>
    </row>
    <row r="91" ht="14.25" customHeight="1">
      <c r="E91" s="42"/>
    </row>
    <row r="92" ht="14.25" customHeight="1">
      <c r="E92" s="42"/>
    </row>
    <row r="93" ht="14.25" customHeight="1">
      <c r="E93" s="42"/>
    </row>
    <row r="94" ht="14.25" customHeight="1">
      <c r="E94" s="42"/>
    </row>
    <row r="95" ht="14.25" customHeight="1">
      <c r="E95" s="42"/>
    </row>
    <row r="96" ht="14.25" customHeight="1">
      <c r="E96" s="42"/>
    </row>
    <row r="97" ht="14.25" customHeight="1">
      <c r="E97" s="42"/>
    </row>
    <row r="98" ht="14.25" customHeight="1">
      <c r="E98" s="42"/>
    </row>
    <row r="99" ht="14.25" customHeight="1">
      <c r="E99" s="42"/>
    </row>
    <row r="100" ht="14.25" customHeight="1">
      <c r="E100" s="42"/>
    </row>
    <row r="101" ht="14.25" customHeight="1">
      <c r="E101" s="42"/>
    </row>
    <row r="102" ht="14.25" customHeight="1">
      <c r="E102" s="42"/>
    </row>
    <row r="103" ht="14.25" customHeight="1">
      <c r="E103" s="42"/>
    </row>
    <row r="104" ht="14.25" customHeight="1">
      <c r="E104" s="42"/>
    </row>
    <row r="105" ht="14.25" customHeight="1">
      <c r="E105" s="42"/>
    </row>
    <row r="106" ht="14.25" customHeight="1">
      <c r="E106" s="42"/>
    </row>
    <row r="107" ht="14.25" customHeight="1">
      <c r="E107" s="42"/>
    </row>
    <row r="108" ht="14.25" customHeight="1">
      <c r="E108" s="42"/>
    </row>
    <row r="109" ht="14.25" customHeight="1">
      <c r="E109" s="42"/>
    </row>
    <row r="110" ht="14.25" customHeight="1">
      <c r="E110" s="42"/>
    </row>
    <row r="111" ht="14.25" customHeight="1">
      <c r="E111" s="42"/>
    </row>
    <row r="112" ht="14.25" customHeight="1">
      <c r="E112" s="42"/>
    </row>
    <row r="113" ht="14.25" customHeight="1">
      <c r="E113" s="42"/>
    </row>
    <row r="114" ht="14.25" customHeight="1">
      <c r="E114" s="42"/>
    </row>
    <row r="115" ht="14.25" customHeight="1">
      <c r="E115" s="42"/>
    </row>
    <row r="116" ht="14.25" customHeight="1">
      <c r="E116" s="42"/>
    </row>
    <row r="117" ht="14.25" customHeight="1">
      <c r="E117" s="42"/>
    </row>
    <row r="118" ht="14.25" customHeight="1">
      <c r="E118" s="42"/>
    </row>
    <row r="119" ht="14.25" customHeight="1">
      <c r="E119" s="42"/>
    </row>
    <row r="120" ht="14.25" customHeight="1">
      <c r="E120" s="42"/>
    </row>
    <row r="121" ht="14.25" customHeight="1">
      <c r="E121" s="42"/>
    </row>
    <row r="122" ht="14.25" customHeight="1">
      <c r="E122" s="42"/>
    </row>
    <row r="123" ht="14.25" customHeight="1">
      <c r="E123" s="42"/>
    </row>
    <row r="124" ht="14.25" customHeight="1">
      <c r="E124" s="42"/>
    </row>
    <row r="125" ht="14.25" customHeight="1">
      <c r="E125" s="42"/>
    </row>
    <row r="126" ht="14.25" customHeight="1">
      <c r="E126" s="42"/>
    </row>
    <row r="127" ht="14.25" customHeight="1">
      <c r="E127" s="42"/>
    </row>
    <row r="128" ht="14.25" customHeight="1">
      <c r="E128" s="42"/>
    </row>
    <row r="129" ht="14.25" customHeight="1">
      <c r="E129" s="42"/>
    </row>
    <row r="130" ht="14.25" customHeight="1">
      <c r="E130" s="42"/>
    </row>
    <row r="131" ht="14.25" customHeight="1">
      <c r="E131" s="42"/>
    </row>
    <row r="132" ht="14.25" customHeight="1">
      <c r="E132" s="42"/>
    </row>
    <row r="133" ht="14.25" customHeight="1">
      <c r="E133" s="42"/>
    </row>
    <row r="134" ht="14.25" customHeight="1">
      <c r="E134" s="42"/>
    </row>
    <row r="135" ht="14.25" customHeight="1">
      <c r="E135" s="42"/>
    </row>
    <row r="136" ht="14.25" customHeight="1">
      <c r="E136" s="42"/>
    </row>
    <row r="137" ht="14.25" customHeight="1">
      <c r="E137" s="42"/>
    </row>
    <row r="138" ht="14.25" customHeight="1">
      <c r="E138" s="42"/>
    </row>
    <row r="139" ht="14.25" customHeight="1">
      <c r="E139" s="42"/>
    </row>
    <row r="140" ht="14.25" customHeight="1">
      <c r="E140" s="42"/>
    </row>
    <row r="141" ht="14.25" customHeight="1">
      <c r="E141" s="42"/>
    </row>
    <row r="142" ht="14.25" customHeight="1">
      <c r="E142" s="42"/>
    </row>
    <row r="143" ht="14.25" customHeight="1">
      <c r="E143" s="42"/>
    </row>
    <row r="144" ht="14.25" customHeight="1">
      <c r="E144" s="42"/>
    </row>
    <row r="145" ht="14.25" customHeight="1">
      <c r="E145" s="42"/>
    </row>
    <row r="146" ht="14.25" customHeight="1">
      <c r="E146" s="42"/>
    </row>
    <row r="147" ht="14.25" customHeight="1">
      <c r="E147" s="42"/>
    </row>
    <row r="148" ht="14.25" customHeight="1">
      <c r="E148" s="42"/>
    </row>
    <row r="149" ht="14.25" customHeight="1">
      <c r="E149" s="42"/>
    </row>
    <row r="150" ht="14.25" customHeight="1">
      <c r="E150" s="42"/>
    </row>
    <row r="151" ht="14.25" customHeight="1">
      <c r="E151" s="42"/>
    </row>
    <row r="152" ht="14.25" customHeight="1">
      <c r="E152" s="42"/>
    </row>
    <row r="153" ht="14.25" customHeight="1">
      <c r="E153" s="42"/>
    </row>
    <row r="154" ht="14.25" customHeight="1">
      <c r="E154" s="42"/>
    </row>
    <row r="155" ht="14.25" customHeight="1">
      <c r="E155" s="42"/>
    </row>
    <row r="156" ht="14.25" customHeight="1">
      <c r="E156" s="42"/>
    </row>
    <row r="157" ht="14.25" customHeight="1">
      <c r="E157" s="42"/>
    </row>
    <row r="158" ht="14.25" customHeight="1">
      <c r="E158" s="42"/>
    </row>
    <row r="159" ht="14.25" customHeight="1">
      <c r="E159" s="42"/>
    </row>
    <row r="160" ht="14.25" customHeight="1">
      <c r="E160" s="42"/>
    </row>
    <row r="161" ht="14.25" customHeight="1">
      <c r="E161" s="42"/>
    </row>
    <row r="162" ht="14.25" customHeight="1">
      <c r="E162" s="42"/>
    </row>
    <row r="163" ht="14.25" customHeight="1">
      <c r="E163" s="42"/>
    </row>
    <row r="164" ht="14.25" customHeight="1">
      <c r="E164" s="42"/>
    </row>
    <row r="165" ht="14.25" customHeight="1">
      <c r="E165" s="42"/>
    </row>
    <row r="166" ht="14.25" customHeight="1">
      <c r="E166" s="42"/>
    </row>
    <row r="167" ht="14.25" customHeight="1">
      <c r="E167" s="42"/>
    </row>
    <row r="168" ht="14.25" customHeight="1">
      <c r="E168" s="42"/>
    </row>
    <row r="169" ht="14.25" customHeight="1">
      <c r="E169" s="42"/>
    </row>
    <row r="170" ht="14.25" customHeight="1">
      <c r="E170" s="42"/>
    </row>
    <row r="171" ht="14.25" customHeight="1">
      <c r="E171" s="42"/>
    </row>
    <row r="172" ht="14.25" customHeight="1">
      <c r="E172" s="42"/>
    </row>
    <row r="173" ht="14.25" customHeight="1">
      <c r="E173" s="42"/>
    </row>
    <row r="174" ht="14.25" customHeight="1">
      <c r="E174" s="42"/>
    </row>
    <row r="175" ht="14.25" customHeight="1">
      <c r="E175" s="42"/>
    </row>
    <row r="176" ht="14.25" customHeight="1">
      <c r="E176" s="42"/>
    </row>
    <row r="177" ht="14.25" customHeight="1">
      <c r="E177" s="42"/>
    </row>
    <row r="178" ht="14.25" customHeight="1">
      <c r="E178" s="42"/>
    </row>
    <row r="179" ht="14.25" customHeight="1">
      <c r="E179" s="42"/>
    </row>
    <row r="180" ht="14.25" customHeight="1">
      <c r="E180" s="42"/>
    </row>
    <row r="181" ht="14.25" customHeight="1">
      <c r="E181" s="42"/>
    </row>
    <row r="182" ht="14.25" customHeight="1">
      <c r="E182" s="42"/>
    </row>
    <row r="183" ht="14.25" customHeight="1">
      <c r="E183" s="42"/>
    </row>
    <row r="184" ht="14.25" customHeight="1">
      <c r="E184" s="42"/>
    </row>
    <row r="185" ht="14.25" customHeight="1">
      <c r="E185" s="42"/>
    </row>
    <row r="186" ht="14.25" customHeight="1">
      <c r="E186" s="42"/>
    </row>
    <row r="187" ht="14.25" customHeight="1">
      <c r="E187" s="42"/>
    </row>
    <row r="188" ht="14.25" customHeight="1">
      <c r="E188" s="42"/>
    </row>
    <row r="189" ht="14.25" customHeight="1">
      <c r="E189" s="42"/>
    </row>
    <row r="190" ht="14.25" customHeight="1">
      <c r="E190" s="42"/>
    </row>
    <row r="191" ht="14.25" customHeight="1">
      <c r="E191" s="42"/>
    </row>
    <row r="192" ht="14.25" customHeight="1">
      <c r="E192" s="42"/>
    </row>
    <row r="193" ht="14.25" customHeight="1">
      <c r="E193" s="42"/>
    </row>
    <row r="194" ht="14.25" customHeight="1">
      <c r="E194" s="42"/>
    </row>
    <row r="195" ht="14.25" customHeight="1">
      <c r="E195" s="42"/>
    </row>
    <row r="196" ht="14.25" customHeight="1">
      <c r="E196" s="42"/>
    </row>
    <row r="197" ht="14.25" customHeight="1">
      <c r="E197" s="42"/>
    </row>
    <row r="198" ht="14.25" customHeight="1">
      <c r="E198" s="42"/>
    </row>
    <row r="199" ht="14.25" customHeight="1">
      <c r="E199" s="42"/>
    </row>
    <row r="200" ht="14.25" customHeight="1">
      <c r="E200" s="42"/>
    </row>
    <row r="201" ht="14.25" customHeight="1">
      <c r="E201" s="42"/>
    </row>
    <row r="202" ht="14.25" customHeight="1">
      <c r="E202" s="42"/>
    </row>
    <row r="203" ht="14.25" customHeight="1">
      <c r="E203" s="42"/>
    </row>
    <row r="204" ht="14.25" customHeight="1">
      <c r="E204" s="42"/>
    </row>
    <row r="205" ht="14.25" customHeight="1">
      <c r="E205" s="42"/>
    </row>
    <row r="206" ht="14.25" customHeight="1">
      <c r="E206" s="42"/>
    </row>
    <row r="207" ht="14.25" customHeight="1">
      <c r="E207" s="42"/>
    </row>
    <row r="208" ht="14.25" customHeight="1">
      <c r="E208" s="42"/>
    </row>
    <row r="209" ht="14.25" customHeight="1">
      <c r="E209" s="42"/>
    </row>
    <row r="210" ht="14.25" customHeight="1">
      <c r="E210" s="42"/>
    </row>
    <row r="211" ht="14.25" customHeight="1">
      <c r="E211" s="42"/>
    </row>
    <row r="212" ht="14.25" customHeight="1">
      <c r="E212" s="42"/>
    </row>
    <row r="213" ht="14.25" customHeight="1">
      <c r="E213" s="42"/>
    </row>
    <row r="214" ht="14.25" customHeight="1">
      <c r="E214" s="42"/>
    </row>
    <row r="215" ht="14.25" customHeight="1">
      <c r="E215" s="42"/>
    </row>
    <row r="216" ht="14.25" customHeight="1">
      <c r="E216" s="42"/>
    </row>
    <row r="217" ht="14.25" customHeight="1">
      <c r="E217" s="42"/>
    </row>
    <row r="218" ht="14.25" customHeight="1">
      <c r="E218" s="42"/>
    </row>
    <row r="219" ht="14.25" customHeight="1">
      <c r="E219" s="42"/>
    </row>
    <row r="220" ht="14.25" customHeight="1">
      <c r="E220" s="42"/>
    </row>
    <row r="221" ht="14.25" customHeight="1">
      <c r="E221" s="42"/>
    </row>
    <row r="222" ht="14.25" customHeight="1">
      <c r="E222" s="42"/>
    </row>
    <row r="223" ht="14.25" customHeight="1">
      <c r="E223" s="42"/>
    </row>
    <row r="224" ht="14.25" customHeight="1">
      <c r="E224" s="42"/>
    </row>
    <row r="225" ht="14.25" customHeight="1">
      <c r="E225" s="42"/>
    </row>
    <row r="226" ht="14.25" customHeight="1">
      <c r="E226" s="42"/>
    </row>
    <row r="227" ht="14.25" customHeight="1">
      <c r="E227" s="42"/>
    </row>
    <row r="228" ht="14.25" customHeight="1">
      <c r="E228" s="42"/>
    </row>
    <row r="229" ht="14.25" customHeight="1">
      <c r="E229" s="42"/>
    </row>
    <row r="230" ht="14.25" customHeight="1">
      <c r="E230" s="42"/>
    </row>
    <row r="231" ht="14.25" customHeight="1">
      <c r="E231" s="42"/>
    </row>
    <row r="232" ht="14.25" customHeight="1">
      <c r="E232" s="42"/>
    </row>
    <row r="233" ht="14.25" customHeight="1">
      <c r="E233" s="42"/>
    </row>
    <row r="234" ht="14.25" customHeight="1">
      <c r="E234" s="42"/>
    </row>
    <row r="235" ht="14.25" customHeight="1">
      <c r="E235" s="42"/>
    </row>
    <row r="236" ht="14.25" customHeight="1">
      <c r="E236" s="42"/>
    </row>
    <row r="237" ht="14.25" customHeight="1">
      <c r="E237" s="42"/>
    </row>
    <row r="238" ht="14.25" customHeight="1">
      <c r="E238" s="42"/>
    </row>
    <row r="239" ht="14.25" customHeight="1">
      <c r="E239" s="42"/>
    </row>
    <row r="240" ht="14.25" customHeight="1">
      <c r="E240" s="42"/>
    </row>
    <row r="241" ht="14.25" customHeight="1">
      <c r="E241" s="42"/>
    </row>
    <row r="242" ht="14.25" customHeight="1">
      <c r="E242" s="42"/>
    </row>
    <row r="243" ht="14.25" customHeight="1">
      <c r="E243" s="42"/>
    </row>
    <row r="244" ht="14.25" customHeight="1">
      <c r="E244" s="42"/>
    </row>
    <row r="245" ht="14.25" customHeight="1">
      <c r="E245" s="42"/>
    </row>
    <row r="246" ht="14.25" customHeight="1">
      <c r="E246" s="42"/>
    </row>
    <row r="247" ht="14.25" customHeight="1">
      <c r="E247" s="42"/>
    </row>
    <row r="248" ht="14.25" customHeight="1">
      <c r="E248" s="42"/>
    </row>
    <row r="249" ht="14.25" customHeight="1">
      <c r="E249" s="42"/>
    </row>
    <row r="250" ht="14.25" customHeight="1">
      <c r="E250" s="42"/>
    </row>
    <row r="251" ht="14.25" customHeight="1">
      <c r="E251" s="42"/>
    </row>
    <row r="252" ht="14.25" customHeight="1">
      <c r="E252" s="42"/>
    </row>
    <row r="253" ht="14.25" customHeight="1">
      <c r="E253" s="42"/>
    </row>
    <row r="254" ht="14.25" customHeight="1">
      <c r="E254" s="42"/>
    </row>
    <row r="255" ht="14.25" customHeight="1">
      <c r="E255" s="42"/>
    </row>
    <row r="256" ht="14.25" customHeight="1">
      <c r="E256" s="42"/>
    </row>
    <row r="257" ht="14.25" customHeight="1">
      <c r="E257" s="42"/>
    </row>
    <row r="258" ht="14.25" customHeight="1">
      <c r="E258" s="42"/>
    </row>
    <row r="259" ht="14.25" customHeight="1">
      <c r="E259" s="42"/>
    </row>
    <row r="260" ht="14.25" customHeight="1">
      <c r="E260" s="42"/>
    </row>
    <row r="261" ht="14.25" customHeight="1">
      <c r="E261" s="42"/>
    </row>
    <row r="262" ht="14.25" customHeight="1">
      <c r="E262" s="42"/>
    </row>
    <row r="263" ht="14.25" customHeight="1">
      <c r="E263" s="42"/>
    </row>
    <row r="264" ht="14.25" customHeight="1">
      <c r="E264" s="42"/>
    </row>
    <row r="265" ht="14.25" customHeight="1">
      <c r="E265" s="42"/>
    </row>
    <row r="266" ht="14.25" customHeight="1">
      <c r="E266" s="42"/>
    </row>
    <row r="267" ht="14.25" customHeight="1">
      <c r="E267" s="42"/>
    </row>
    <row r="268" ht="14.25" customHeight="1">
      <c r="E268" s="42"/>
    </row>
    <row r="269" ht="14.25" customHeight="1">
      <c r="E269" s="42"/>
    </row>
    <row r="270" ht="14.25" customHeight="1">
      <c r="E270" s="42"/>
    </row>
    <row r="271" ht="14.25" customHeight="1">
      <c r="E271" s="42"/>
    </row>
    <row r="272" ht="14.25" customHeight="1">
      <c r="E272" s="42"/>
    </row>
    <row r="273" ht="14.25" customHeight="1">
      <c r="E273" s="42"/>
    </row>
    <row r="274" ht="14.25" customHeight="1">
      <c r="E274" s="42"/>
    </row>
    <row r="275" ht="14.25" customHeight="1">
      <c r="E275" s="42"/>
    </row>
    <row r="276" ht="14.25" customHeight="1">
      <c r="E276" s="42"/>
    </row>
    <row r="277" ht="14.25" customHeight="1">
      <c r="E277" s="42"/>
    </row>
    <row r="278" ht="14.25" customHeight="1">
      <c r="E278" s="42"/>
    </row>
    <row r="279" ht="14.25" customHeight="1">
      <c r="E279" s="42"/>
    </row>
    <row r="280" ht="14.25" customHeight="1">
      <c r="E280" s="42"/>
    </row>
    <row r="281" ht="14.25" customHeight="1">
      <c r="E281" s="42"/>
    </row>
    <row r="282" ht="14.25" customHeight="1">
      <c r="E282" s="42"/>
    </row>
    <row r="283" ht="14.25" customHeight="1">
      <c r="E283" s="42"/>
    </row>
    <row r="284" ht="14.25" customHeight="1">
      <c r="E284" s="42"/>
    </row>
    <row r="285" ht="14.25" customHeight="1">
      <c r="E285" s="42"/>
    </row>
    <row r="286" ht="14.25" customHeight="1">
      <c r="E286" s="42"/>
    </row>
    <row r="287" ht="14.25" customHeight="1">
      <c r="E287" s="42"/>
    </row>
    <row r="288" ht="14.25" customHeight="1">
      <c r="E288" s="42"/>
    </row>
    <row r="289" ht="14.25" customHeight="1">
      <c r="E289" s="42"/>
    </row>
    <row r="290" ht="14.25" customHeight="1">
      <c r="E290" s="42"/>
    </row>
    <row r="291" ht="14.25" customHeight="1">
      <c r="E291" s="42"/>
    </row>
    <row r="292" ht="14.25" customHeight="1">
      <c r="E292" s="42"/>
    </row>
    <row r="293" ht="14.25" customHeight="1">
      <c r="E293" s="42"/>
    </row>
    <row r="294" ht="14.25" customHeight="1">
      <c r="E294" s="42"/>
    </row>
    <row r="295" ht="14.25" customHeight="1">
      <c r="E295" s="42"/>
    </row>
    <row r="296" ht="14.25" customHeight="1">
      <c r="E296" s="42"/>
    </row>
    <row r="297" ht="14.25" customHeight="1">
      <c r="E297" s="42"/>
    </row>
    <row r="298" ht="14.25" customHeight="1">
      <c r="E298" s="42"/>
    </row>
    <row r="299" ht="14.25" customHeight="1">
      <c r="E299" s="42"/>
    </row>
    <row r="300" ht="14.25" customHeight="1">
      <c r="E300" s="42"/>
    </row>
    <row r="301" ht="14.25" customHeight="1">
      <c r="E301" s="42"/>
    </row>
    <row r="302" ht="14.25" customHeight="1">
      <c r="E302" s="42"/>
    </row>
    <row r="303" ht="14.25" customHeight="1">
      <c r="E303" s="42"/>
    </row>
    <row r="304" ht="14.25" customHeight="1">
      <c r="E304" s="42"/>
    </row>
    <row r="305" ht="14.25" customHeight="1">
      <c r="E305" s="42"/>
    </row>
    <row r="306" ht="14.25" customHeight="1">
      <c r="E306" s="42"/>
    </row>
    <row r="307" ht="14.25" customHeight="1">
      <c r="E307" s="42"/>
    </row>
    <row r="308" ht="14.25" customHeight="1">
      <c r="E308" s="42"/>
    </row>
    <row r="309" ht="14.25" customHeight="1">
      <c r="E309" s="42"/>
    </row>
    <row r="310" ht="14.25" customHeight="1">
      <c r="E310" s="42"/>
    </row>
    <row r="311" ht="14.25" customHeight="1">
      <c r="E311" s="42"/>
    </row>
    <row r="312" ht="14.25" customHeight="1">
      <c r="E312" s="42"/>
    </row>
    <row r="313" ht="14.25" customHeight="1">
      <c r="E313" s="42"/>
    </row>
    <row r="314" ht="14.25" customHeight="1">
      <c r="E314" s="42"/>
    </row>
    <row r="315" ht="14.25" customHeight="1">
      <c r="E315" s="42"/>
    </row>
    <row r="316" ht="14.25" customHeight="1">
      <c r="E316" s="42"/>
    </row>
    <row r="317" ht="14.25" customHeight="1">
      <c r="E317" s="42"/>
    </row>
    <row r="318" ht="14.25" customHeight="1">
      <c r="E318" s="42"/>
    </row>
    <row r="319" ht="14.25" customHeight="1">
      <c r="E319" s="42"/>
    </row>
    <row r="320" ht="14.25" customHeight="1">
      <c r="E320" s="42"/>
    </row>
    <row r="321" ht="14.25" customHeight="1">
      <c r="E321" s="42"/>
    </row>
    <row r="322" ht="14.25" customHeight="1">
      <c r="E322" s="42"/>
    </row>
    <row r="323" ht="14.25" customHeight="1">
      <c r="E323" s="42"/>
    </row>
    <row r="324" ht="14.25" customHeight="1">
      <c r="E324" s="42"/>
    </row>
    <row r="325" ht="14.25" customHeight="1">
      <c r="E325" s="42"/>
    </row>
    <row r="326" ht="14.25" customHeight="1">
      <c r="E326" s="42"/>
    </row>
    <row r="327" ht="14.25" customHeight="1">
      <c r="E327" s="42"/>
    </row>
    <row r="328" ht="14.25" customHeight="1">
      <c r="E328" s="42"/>
    </row>
    <row r="329" ht="14.25" customHeight="1">
      <c r="E329" s="42"/>
    </row>
    <row r="330" ht="14.25" customHeight="1">
      <c r="E330" s="42"/>
    </row>
    <row r="331" ht="14.25" customHeight="1">
      <c r="E331" s="42"/>
    </row>
    <row r="332" ht="14.25" customHeight="1">
      <c r="E332" s="42"/>
    </row>
    <row r="333" ht="14.25" customHeight="1">
      <c r="E333" s="42"/>
    </row>
    <row r="334" ht="14.25" customHeight="1">
      <c r="E334" s="42"/>
    </row>
    <row r="335" ht="14.25" customHeight="1">
      <c r="E335" s="42"/>
    </row>
    <row r="336" ht="14.25" customHeight="1">
      <c r="E336" s="42"/>
    </row>
    <row r="337" ht="14.25" customHeight="1">
      <c r="E337" s="42"/>
    </row>
    <row r="338" ht="14.25" customHeight="1">
      <c r="E338" s="42"/>
    </row>
    <row r="339" ht="14.25" customHeight="1">
      <c r="E339" s="42"/>
    </row>
    <row r="340" ht="14.25" customHeight="1">
      <c r="E340" s="42"/>
    </row>
    <row r="341" ht="14.25" customHeight="1">
      <c r="E341" s="42"/>
    </row>
    <row r="342" ht="14.25" customHeight="1">
      <c r="E342" s="42"/>
    </row>
    <row r="343" ht="14.25" customHeight="1">
      <c r="E343" s="42"/>
    </row>
    <row r="344" ht="14.25" customHeight="1">
      <c r="E344" s="42"/>
    </row>
    <row r="345" ht="14.25" customHeight="1">
      <c r="E345" s="42"/>
    </row>
    <row r="346" ht="14.25" customHeight="1">
      <c r="E346" s="42"/>
    </row>
    <row r="347" ht="14.25" customHeight="1">
      <c r="E347" s="42"/>
    </row>
    <row r="348" ht="14.25" customHeight="1">
      <c r="E348" s="42"/>
    </row>
    <row r="349" ht="14.25" customHeight="1">
      <c r="E349" s="42"/>
    </row>
    <row r="350" ht="14.25" customHeight="1">
      <c r="E350" s="42"/>
    </row>
    <row r="351" ht="14.25" customHeight="1">
      <c r="E351" s="42"/>
    </row>
    <row r="352" ht="14.25" customHeight="1">
      <c r="E352" s="42"/>
    </row>
    <row r="353" ht="14.25" customHeight="1">
      <c r="E353" s="42"/>
    </row>
    <row r="354" ht="14.25" customHeight="1">
      <c r="E354" s="42"/>
    </row>
    <row r="355" ht="14.25" customHeight="1">
      <c r="E355" s="42"/>
    </row>
    <row r="356" ht="14.25" customHeight="1">
      <c r="E356" s="42"/>
    </row>
    <row r="357" ht="14.25" customHeight="1">
      <c r="E357" s="42"/>
    </row>
    <row r="358" ht="14.25" customHeight="1">
      <c r="E358" s="42"/>
    </row>
    <row r="359" ht="14.25" customHeight="1">
      <c r="E359" s="42"/>
    </row>
    <row r="360" ht="14.25" customHeight="1">
      <c r="E360" s="42"/>
    </row>
    <row r="361" ht="14.25" customHeight="1">
      <c r="E361" s="42"/>
    </row>
    <row r="362" ht="14.25" customHeight="1">
      <c r="E362" s="42"/>
    </row>
    <row r="363" ht="14.25" customHeight="1">
      <c r="E363" s="42"/>
    </row>
    <row r="364" ht="14.25" customHeight="1">
      <c r="E364" s="42"/>
    </row>
    <row r="365" ht="14.25" customHeight="1">
      <c r="E365" s="42"/>
    </row>
    <row r="366" ht="14.25" customHeight="1">
      <c r="E366" s="42"/>
    </row>
    <row r="367" ht="14.25" customHeight="1">
      <c r="E367" s="42"/>
    </row>
    <row r="368" ht="14.25" customHeight="1">
      <c r="E368" s="42"/>
    </row>
    <row r="369" ht="14.25" customHeight="1">
      <c r="E369" s="42"/>
    </row>
    <row r="370" ht="14.25" customHeight="1">
      <c r="E370" s="42"/>
    </row>
    <row r="371" ht="14.25" customHeight="1">
      <c r="E371" s="42"/>
    </row>
    <row r="372" ht="14.25" customHeight="1">
      <c r="E372" s="42"/>
    </row>
    <row r="373" ht="14.25" customHeight="1">
      <c r="E373" s="42"/>
    </row>
    <row r="374" ht="14.25" customHeight="1">
      <c r="E374" s="42"/>
    </row>
    <row r="375" ht="14.25" customHeight="1">
      <c r="E375" s="42"/>
    </row>
    <row r="376" ht="14.25" customHeight="1">
      <c r="E376" s="42"/>
    </row>
    <row r="377" ht="14.25" customHeight="1">
      <c r="E377" s="42"/>
    </row>
    <row r="378" ht="14.25" customHeight="1">
      <c r="E378" s="42"/>
    </row>
    <row r="379" ht="14.25" customHeight="1">
      <c r="E379" s="42"/>
    </row>
    <row r="380" ht="14.25" customHeight="1">
      <c r="E380" s="42"/>
    </row>
    <row r="381" ht="14.25" customHeight="1">
      <c r="E381" s="42"/>
    </row>
    <row r="382" ht="14.25" customHeight="1">
      <c r="E382" s="42"/>
    </row>
    <row r="383" ht="14.25" customHeight="1">
      <c r="E383" s="42"/>
    </row>
    <row r="384" ht="14.25" customHeight="1">
      <c r="E384" s="42"/>
    </row>
    <row r="385" ht="14.25" customHeight="1">
      <c r="E385" s="42"/>
    </row>
    <row r="386" ht="14.25" customHeight="1">
      <c r="E386" s="42"/>
    </row>
    <row r="387" ht="14.25" customHeight="1">
      <c r="E387" s="42"/>
    </row>
    <row r="388" ht="14.25" customHeight="1">
      <c r="E388" s="42"/>
    </row>
    <row r="389" ht="14.25" customHeight="1">
      <c r="E389" s="42"/>
    </row>
    <row r="390" ht="14.25" customHeight="1">
      <c r="E390" s="42"/>
    </row>
    <row r="391" ht="14.25" customHeight="1">
      <c r="E391" s="42"/>
    </row>
    <row r="392" ht="14.25" customHeight="1">
      <c r="E392" s="42"/>
    </row>
    <row r="393" ht="14.25" customHeight="1">
      <c r="E393" s="42"/>
    </row>
    <row r="394" ht="14.25" customHeight="1">
      <c r="E394" s="42"/>
    </row>
    <row r="395" ht="14.25" customHeight="1">
      <c r="E395" s="42"/>
    </row>
    <row r="396" ht="14.25" customHeight="1">
      <c r="E396" s="42"/>
    </row>
    <row r="397" ht="14.25" customHeight="1">
      <c r="E397" s="42"/>
    </row>
    <row r="398" ht="14.25" customHeight="1">
      <c r="E398" s="42"/>
    </row>
    <row r="399" ht="14.25" customHeight="1">
      <c r="E399" s="42"/>
    </row>
    <row r="400" ht="14.25" customHeight="1">
      <c r="E400" s="42"/>
    </row>
    <row r="401" ht="14.25" customHeight="1">
      <c r="E401" s="42"/>
    </row>
    <row r="402" ht="14.25" customHeight="1">
      <c r="E402" s="42"/>
    </row>
    <row r="403" ht="14.25" customHeight="1">
      <c r="E403" s="42"/>
    </row>
    <row r="404" ht="14.25" customHeight="1">
      <c r="E404" s="42"/>
    </row>
    <row r="405" ht="14.25" customHeight="1">
      <c r="E405" s="42"/>
    </row>
    <row r="406" ht="14.25" customHeight="1">
      <c r="E406" s="42"/>
    </row>
    <row r="407" ht="14.25" customHeight="1">
      <c r="E407" s="42"/>
    </row>
    <row r="408" ht="14.25" customHeight="1">
      <c r="E408" s="42"/>
    </row>
    <row r="409" ht="14.25" customHeight="1">
      <c r="E409" s="42"/>
    </row>
    <row r="410" ht="14.25" customHeight="1">
      <c r="E410" s="42"/>
    </row>
    <row r="411" ht="14.25" customHeight="1">
      <c r="E411" s="42"/>
    </row>
    <row r="412" ht="14.25" customHeight="1">
      <c r="E412" s="42"/>
    </row>
    <row r="413" ht="14.25" customHeight="1">
      <c r="E413" s="42"/>
    </row>
    <row r="414" ht="14.25" customHeight="1">
      <c r="E414" s="42"/>
    </row>
    <row r="415" ht="14.25" customHeight="1">
      <c r="E415" s="42"/>
    </row>
    <row r="416" ht="14.25" customHeight="1">
      <c r="E416" s="42"/>
    </row>
    <row r="417" ht="14.25" customHeight="1">
      <c r="E417" s="42"/>
    </row>
    <row r="418" ht="14.25" customHeight="1">
      <c r="E418" s="42"/>
    </row>
    <row r="419" ht="14.25" customHeight="1">
      <c r="E419" s="42"/>
    </row>
    <row r="420" ht="14.25" customHeight="1">
      <c r="E420" s="42"/>
    </row>
    <row r="421" ht="14.25" customHeight="1">
      <c r="E421" s="42"/>
    </row>
    <row r="422" ht="14.25" customHeight="1">
      <c r="E422" s="42"/>
    </row>
    <row r="423" ht="14.25" customHeight="1">
      <c r="E423" s="42"/>
    </row>
    <row r="424" ht="14.25" customHeight="1">
      <c r="E424" s="42"/>
    </row>
    <row r="425" ht="14.25" customHeight="1">
      <c r="E425" s="42"/>
    </row>
    <row r="426" ht="14.25" customHeight="1">
      <c r="E426" s="42"/>
    </row>
    <row r="427" ht="14.25" customHeight="1">
      <c r="E427" s="42"/>
    </row>
    <row r="428" ht="14.25" customHeight="1">
      <c r="E428" s="42"/>
    </row>
    <row r="429" ht="14.25" customHeight="1">
      <c r="E429" s="42"/>
    </row>
    <row r="430" ht="14.25" customHeight="1">
      <c r="E430" s="42"/>
    </row>
    <row r="431" ht="14.25" customHeight="1">
      <c r="E431" s="42"/>
    </row>
    <row r="432" ht="14.25" customHeight="1">
      <c r="E432" s="42"/>
    </row>
    <row r="433" ht="14.25" customHeight="1">
      <c r="E433" s="42"/>
    </row>
    <row r="434" ht="14.25" customHeight="1">
      <c r="E434" s="42"/>
    </row>
    <row r="435" ht="14.25" customHeight="1">
      <c r="E435" s="42"/>
    </row>
    <row r="436" ht="14.25" customHeight="1">
      <c r="E436" s="42"/>
    </row>
    <row r="437" ht="14.25" customHeight="1">
      <c r="E437" s="42"/>
    </row>
    <row r="438" ht="14.25" customHeight="1">
      <c r="E438" s="42"/>
    </row>
    <row r="439" ht="14.25" customHeight="1">
      <c r="E439" s="42"/>
    </row>
    <row r="440" ht="14.25" customHeight="1">
      <c r="E440" s="42"/>
    </row>
    <row r="441" ht="14.25" customHeight="1">
      <c r="E441" s="42"/>
    </row>
    <row r="442" ht="14.25" customHeight="1">
      <c r="E442" s="42"/>
    </row>
    <row r="443" ht="14.25" customHeight="1">
      <c r="E443" s="42"/>
    </row>
    <row r="444" ht="14.25" customHeight="1">
      <c r="E444" s="42"/>
    </row>
    <row r="445" ht="14.25" customHeight="1">
      <c r="E445" s="42"/>
    </row>
    <row r="446" ht="14.25" customHeight="1">
      <c r="E446" s="42"/>
    </row>
    <row r="447" ht="14.25" customHeight="1">
      <c r="E447" s="42"/>
    </row>
    <row r="448" ht="14.25" customHeight="1">
      <c r="E448" s="42"/>
    </row>
    <row r="449" ht="14.25" customHeight="1">
      <c r="E449" s="42"/>
    </row>
    <row r="450" ht="14.25" customHeight="1">
      <c r="E450" s="42"/>
    </row>
    <row r="451" ht="14.25" customHeight="1">
      <c r="E451" s="42"/>
    </row>
    <row r="452" ht="14.25" customHeight="1">
      <c r="E452" s="42"/>
    </row>
    <row r="453" ht="14.25" customHeight="1">
      <c r="E453" s="42"/>
    </row>
    <row r="454" ht="14.25" customHeight="1">
      <c r="E454" s="42"/>
    </row>
    <row r="455" ht="14.25" customHeight="1">
      <c r="E455" s="42"/>
    </row>
    <row r="456" ht="14.25" customHeight="1">
      <c r="E456" s="42"/>
    </row>
    <row r="457" ht="14.25" customHeight="1">
      <c r="E457" s="42"/>
    </row>
    <row r="458" ht="14.25" customHeight="1">
      <c r="E458" s="42"/>
    </row>
    <row r="459" ht="14.25" customHeight="1">
      <c r="E459" s="42"/>
    </row>
    <row r="460" ht="14.25" customHeight="1">
      <c r="E460" s="42"/>
    </row>
    <row r="461" ht="14.25" customHeight="1">
      <c r="E461" s="42"/>
    </row>
    <row r="462" ht="14.25" customHeight="1">
      <c r="E462" s="42"/>
    </row>
    <row r="463" ht="14.25" customHeight="1">
      <c r="E463" s="42"/>
    </row>
    <row r="464" ht="14.25" customHeight="1">
      <c r="E464" s="42"/>
    </row>
    <row r="465" ht="14.25" customHeight="1">
      <c r="E465" s="42"/>
    </row>
    <row r="466" ht="14.25" customHeight="1">
      <c r="E466" s="42"/>
    </row>
    <row r="467" ht="14.25" customHeight="1">
      <c r="E467" s="42"/>
    </row>
    <row r="468" ht="14.25" customHeight="1">
      <c r="E468" s="42"/>
    </row>
    <row r="469" ht="14.25" customHeight="1">
      <c r="E469" s="42"/>
    </row>
    <row r="470" ht="14.25" customHeight="1">
      <c r="E470" s="42"/>
    </row>
    <row r="471" ht="14.25" customHeight="1">
      <c r="E471" s="42"/>
    </row>
    <row r="472" ht="14.25" customHeight="1">
      <c r="E472" s="42"/>
    </row>
    <row r="473" ht="14.25" customHeight="1">
      <c r="E473" s="42"/>
    </row>
    <row r="474" ht="14.25" customHeight="1">
      <c r="E474" s="42"/>
    </row>
    <row r="475" ht="14.25" customHeight="1">
      <c r="E475" s="42"/>
    </row>
    <row r="476" ht="14.25" customHeight="1">
      <c r="E476" s="42"/>
    </row>
    <row r="477" ht="14.25" customHeight="1">
      <c r="E477" s="42"/>
    </row>
    <row r="478" ht="14.25" customHeight="1">
      <c r="E478" s="42"/>
    </row>
    <row r="479" ht="14.25" customHeight="1">
      <c r="E479" s="42"/>
    </row>
    <row r="480" ht="14.25" customHeight="1">
      <c r="E480" s="42"/>
    </row>
    <row r="481" ht="14.25" customHeight="1">
      <c r="E481" s="42"/>
    </row>
    <row r="482" ht="14.25" customHeight="1">
      <c r="E482" s="42"/>
    </row>
    <row r="483" ht="14.25" customHeight="1">
      <c r="E483" s="42"/>
    </row>
    <row r="484" ht="14.25" customHeight="1">
      <c r="E484" s="42"/>
    </row>
    <row r="485" ht="14.25" customHeight="1">
      <c r="E485" s="42"/>
    </row>
    <row r="486" ht="14.25" customHeight="1">
      <c r="E486" s="42"/>
    </row>
    <row r="487" ht="14.25" customHeight="1">
      <c r="E487" s="42"/>
    </row>
    <row r="488" ht="14.25" customHeight="1">
      <c r="E488" s="42"/>
    </row>
    <row r="489" ht="14.25" customHeight="1">
      <c r="E489" s="42"/>
    </row>
    <row r="490" ht="14.25" customHeight="1">
      <c r="E490" s="42"/>
    </row>
    <row r="491" ht="14.25" customHeight="1">
      <c r="E491" s="42"/>
    </row>
    <row r="492" ht="14.25" customHeight="1">
      <c r="E492" s="42"/>
    </row>
    <row r="493" ht="14.25" customHeight="1">
      <c r="E493" s="42"/>
    </row>
    <row r="494" ht="14.25" customHeight="1">
      <c r="E494" s="42"/>
    </row>
    <row r="495" ht="14.25" customHeight="1">
      <c r="E495" s="42"/>
    </row>
    <row r="496" ht="14.25" customHeight="1">
      <c r="E496" s="42"/>
    </row>
    <row r="497" ht="14.25" customHeight="1">
      <c r="E497" s="42"/>
    </row>
    <row r="498" ht="14.25" customHeight="1">
      <c r="E498" s="42"/>
    </row>
    <row r="499" ht="14.25" customHeight="1">
      <c r="E499" s="42"/>
    </row>
    <row r="500" ht="14.25" customHeight="1">
      <c r="E500" s="42"/>
    </row>
    <row r="501" ht="14.25" customHeight="1">
      <c r="E501" s="42"/>
    </row>
    <row r="502" ht="14.25" customHeight="1">
      <c r="E502" s="42"/>
    </row>
    <row r="503" ht="14.25" customHeight="1">
      <c r="E503" s="42"/>
    </row>
    <row r="504" ht="14.25" customHeight="1">
      <c r="E504" s="42"/>
    </row>
    <row r="505" ht="14.25" customHeight="1">
      <c r="E505" s="42"/>
    </row>
    <row r="506" ht="14.25" customHeight="1">
      <c r="E506" s="42"/>
    </row>
    <row r="507" ht="14.25" customHeight="1">
      <c r="E507" s="42"/>
    </row>
    <row r="508" ht="14.25" customHeight="1">
      <c r="E508" s="42"/>
    </row>
    <row r="509" ht="14.25" customHeight="1">
      <c r="E509" s="42"/>
    </row>
    <row r="510" ht="14.25" customHeight="1">
      <c r="E510" s="42"/>
    </row>
    <row r="511" ht="14.25" customHeight="1">
      <c r="E511" s="42"/>
    </row>
    <row r="512" ht="14.25" customHeight="1">
      <c r="E512" s="42"/>
    </row>
    <row r="513" ht="14.25" customHeight="1">
      <c r="E513" s="42"/>
    </row>
    <row r="514" ht="14.25" customHeight="1">
      <c r="E514" s="42"/>
    </row>
    <row r="515" ht="14.25" customHeight="1">
      <c r="E515" s="42"/>
    </row>
    <row r="516" ht="14.25" customHeight="1">
      <c r="E516" s="42"/>
    </row>
    <row r="517" ht="14.25" customHeight="1">
      <c r="E517" s="42"/>
    </row>
    <row r="518" ht="14.25" customHeight="1">
      <c r="E518" s="42"/>
    </row>
    <row r="519" ht="14.25" customHeight="1">
      <c r="E519" s="42"/>
    </row>
    <row r="520" ht="14.25" customHeight="1">
      <c r="E520" s="42"/>
    </row>
    <row r="521" ht="14.25" customHeight="1">
      <c r="E521" s="42"/>
    </row>
    <row r="522" ht="14.25" customHeight="1">
      <c r="E522" s="42"/>
    </row>
    <row r="523" ht="14.25" customHeight="1">
      <c r="E523" s="42"/>
    </row>
    <row r="524" ht="14.25" customHeight="1">
      <c r="E524" s="42"/>
    </row>
    <row r="525" ht="14.25" customHeight="1">
      <c r="E525" s="42"/>
    </row>
    <row r="526" ht="14.25" customHeight="1">
      <c r="E526" s="42"/>
    </row>
    <row r="527" ht="14.25" customHeight="1">
      <c r="E527" s="42"/>
    </row>
    <row r="528" ht="14.25" customHeight="1">
      <c r="E528" s="42"/>
    </row>
    <row r="529" ht="14.25" customHeight="1">
      <c r="E529" s="42"/>
    </row>
    <row r="530" ht="14.25" customHeight="1">
      <c r="E530" s="42"/>
    </row>
    <row r="531" ht="14.25" customHeight="1">
      <c r="E531" s="42"/>
    </row>
    <row r="532" ht="14.25" customHeight="1">
      <c r="E532" s="42"/>
    </row>
    <row r="533" ht="14.25" customHeight="1">
      <c r="E533" s="42"/>
    </row>
    <row r="534" ht="14.25" customHeight="1">
      <c r="E534" s="42"/>
    </row>
    <row r="535" ht="14.25" customHeight="1">
      <c r="E535" s="42"/>
    </row>
    <row r="536" ht="14.25" customHeight="1">
      <c r="E536" s="42"/>
    </row>
    <row r="537" ht="14.25" customHeight="1">
      <c r="E537" s="42"/>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42"/>
    <hyperlink r:id="rId23" ref="J43"/>
    <hyperlink r:id="rId24" ref="J44"/>
    <hyperlink r:id="rId25" ref="J45"/>
    <hyperlink r:id="rId26" ref="J46"/>
    <hyperlink r:id="rId27" ref="J47"/>
    <hyperlink r:id="rId28" ref="J48"/>
    <hyperlink r:id="rId29" ref="J49"/>
    <hyperlink r:id="rId30" ref="J50"/>
    <hyperlink r:id="rId31" ref="J51"/>
    <hyperlink r:id="rId32" ref="J52"/>
    <hyperlink r:id="rId33" ref="J53"/>
    <hyperlink r:id="rId34" ref="J54"/>
    <hyperlink r:id="rId35" ref="J55"/>
    <hyperlink r:id="rId36" ref="J56"/>
    <hyperlink r:id="rId37" ref="J57"/>
    <hyperlink r:id="rId38" ref="J58"/>
    <hyperlink r:id="rId39" ref="J59"/>
    <hyperlink r:id="rId40" ref="J60"/>
    <hyperlink r:id="rId41" ref="J61"/>
    <hyperlink r:id="rId42" ref="J62"/>
    <hyperlink r:id="rId43" ref="J63"/>
  </hyperlinks>
  <printOptions/>
  <pageMargins bottom="0.75" footer="0.0" header="0.0" left="0.7" right="0.7" top="0.75"/>
  <pageSetup orientation="landscape"/>
  <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8" max="8" width="25.71"/>
  </cols>
  <sheetData>
    <row r="1">
      <c r="A1" s="39" t="s">
        <v>1282</v>
      </c>
      <c r="B1" s="39" t="s">
        <v>1283</v>
      </c>
      <c r="C1" s="39" t="s">
        <v>1284</v>
      </c>
      <c r="D1" s="40" t="s">
        <v>1</v>
      </c>
      <c r="E1" s="41" t="s">
        <v>2</v>
      </c>
      <c r="F1" s="40" t="s">
        <v>1285</v>
      </c>
      <c r="G1" s="40" t="s">
        <v>1286</v>
      </c>
      <c r="H1" s="40" t="s">
        <v>1285</v>
      </c>
    </row>
    <row r="2">
      <c r="A2" s="12" t="s">
        <v>1379</v>
      </c>
      <c r="B2" s="12" t="s">
        <v>967</v>
      </c>
      <c r="C2" s="43" t="s">
        <v>1380</v>
      </c>
      <c r="D2" s="43" t="s">
        <v>968</v>
      </c>
      <c r="E2" s="29" t="s">
        <v>969</v>
      </c>
      <c r="F2" s="24">
        <v>46149.96611111111</v>
      </c>
      <c r="G2" s="43" t="s">
        <v>1293</v>
      </c>
      <c r="H2" s="24">
        <v>46149.96611111111</v>
      </c>
    </row>
    <row r="3">
      <c r="A3" s="12" t="s">
        <v>1381</v>
      </c>
      <c r="B3" s="12" t="s">
        <v>390</v>
      </c>
      <c r="C3" s="43" t="s">
        <v>1382</v>
      </c>
      <c r="D3" s="43" t="s">
        <v>391</v>
      </c>
      <c r="E3" s="29" t="s">
        <v>392</v>
      </c>
      <c r="F3" s="24">
        <v>46149.966365740744</v>
      </c>
      <c r="G3" s="43" t="s">
        <v>1289</v>
      </c>
      <c r="H3" s="24">
        <v>46151.56978009259</v>
      </c>
    </row>
    <row r="4">
      <c r="A4" s="12" t="s">
        <v>1383</v>
      </c>
      <c r="B4" s="12" t="s">
        <v>39</v>
      </c>
      <c r="C4" s="43" t="s">
        <v>1384</v>
      </c>
      <c r="D4" s="43" t="s">
        <v>40</v>
      </c>
      <c r="E4" s="29" t="s">
        <v>41</v>
      </c>
      <c r="F4" s="24">
        <v>46149.96837962963</v>
      </c>
      <c r="G4" s="43" t="s">
        <v>1289</v>
      </c>
      <c r="H4" s="24">
        <v>46149.96853009259</v>
      </c>
    </row>
    <row r="5">
      <c r="A5" s="12" t="s">
        <v>1385</v>
      </c>
      <c r="B5" s="12" t="s">
        <v>529</v>
      </c>
      <c r="C5" s="43" t="s">
        <v>1348</v>
      </c>
      <c r="D5" s="43" t="s">
        <v>530</v>
      </c>
      <c r="E5" s="29" t="s">
        <v>531</v>
      </c>
      <c r="F5" s="24">
        <v>46149.97002314815</v>
      </c>
      <c r="G5" s="43" t="s">
        <v>1289</v>
      </c>
      <c r="H5" s="24">
        <v>46150.368483796294</v>
      </c>
    </row>
    <row r="6">
      <c r="A6" s="12" t="s">
        <v>1386</v>
      </c>
      <c r="B6" s="12" t="s">
        <v>1034</v>
      </c>
      <c r="C6" s="43" t="s">
        <v>1387</v>
      </c>
      <c r="D6" s="12" t="s">
        <v>1035</v>
      </c>
      <c r="E6" s="29" t="s">
        <v>1036</v>
      </c>
      <c r="F6" s="24">
        <v>46149.97383101852</v>
      </c>
      <c r="G6" s="43" t="s">
        <v>1289</v>
      </c>
      <c r="H6" s="24">
        <v>46151.60141203704</v>
      </c>
    </row>
    <row r="7">
      <c r="A7" s="12" t="s">
        <v>1388</v>
      </c>
      <c r="B7" s="12" t="s">
        <v>1125</v>
      </c>
      <c r="C7" s="43" t="s">
        <v>1389</v>
      </c>
      <c r="D7" s="43" t="s">
        <v>1126</v>
      </c>
      <c r="E7" s="29" t="s">
        <v>1127</v>
      </c>
      <c r="F7" s="24">
        <v>46149.97709490741</v>
      </c>
      <c r="G7" s="43" t="s">
        <v>1289</v>
      </c>
      <c r="H7" s="24">
        <v>46151.61366898148</v>
      </c>
    </row>
    <row r="8">
      <c r="A8" s="12" t="s">
        <v>1390</v>
      </c>
      <c r="B8" s="12" t="s">
        <v>1053</v>
      </c>
      <c r="C8" s="43" t="s">
        <v>1391</v>
      </c>
      <c r="D8" s="43" t="s">
        <v>1054</v>
      </c>
      <c r="E8" s="29" t="s">
        <v>1055</v>
      </c>
      <c r="F8" s="24">
        <v>46149.98311342593</v>
      </c>
      <c r="G8" s="43" t="s">
        <v>1289</v>
      </c>
      <c r="H8" s="24">
        <v>46151.62935185185</v>
      </c>
    </row>
    <row r="9">
      <c r="A9" s="12" t="s">
        <v>1392</v>
      </c>
      <c r="B9" s="12" t="s">
        <v>147</v>
      </c>
      <c r="C9" s="43" t="s">
        <v>1393</v>
      </c>
      <c r="D9" s="43" t="s">
        <v>148</v>
      </c>
      <c r="E9" s="29" t="s">
        <v>149</v>
      </c>
      <c r="F9" s="24">
        <v>46149.99019675926</v>
      </c>
      <c r="G9" s="43" t="s">
        <v>1289</v>
      </c>
      <c r="H9" s="24">
        <v>46151.56203703704</v>
      </c>
    </row>
    <row r="10">
      <c r="A10" s="12" t="s">
        <v>1394</v>
      </c>
      <c r="B10" s="12" t="s">
        <v>1058</v>
      </c>
      <c r="C10" s="43" t="s">
        <v>1395</v>
      </c>
      <c r="D10" s="43" t="s">
        <v>1059</v>
      </c>
      <c r="E10" s="29" t="s">
        <v>1060</v>
      </c>
      <c r="F10" s="24">
        <v>46149.99334490741</v>
      </c>
      <c r="G10" s="43" t="s">
        <v>1289</v>
      </c>
      <c r="H10" s="24">
        <v>46151.66954861111</v>
      </c>
    </row>
    <row r="11">
      <c r="A11" s="12" t="s">
        <v>1396</v>
      </c>
      <c r="B11" s="12" t="s">
        <v>354</v>
      </c>
      <c r="C11" s="43" t="s">
        <v>1397</v>
      </c>
      <c r="D11" s="43" t="s">
        <v>355</v>
      </c>
      <c r="E11" s="29" t="s">
        <v>356</v>
      </c>
      <c r="F11" s="24">
        <v>46149.99587962963</v>
      </c>
      <c r="G11" s="43" t="s">
        <v>1289</v>
      </c>
      <c r="H11" s="24">
        <v>46151.69657407407</v>
      </c>
    </row>
    <row r="12">
      <c r="A12" s="12" t="s">
        <v>1398</v>
      </c>
      <c r="B12" s="12" t="s">
        <v>472</v>
      </c>
      <c r="C12" s="43" t="s">
        <v>1399</v>
      </c>
      <c r="D12" s="43" t="s">
        <v>473</v>
      </c>
      <c r="E12" s="29" t="s">
        <v>474</v>
      </c>
      <c r="F12" s="24">
        <v>46150.021365740744</v>
      </c>
      <c r="G12" s="43" t="s">
        <v>1293</v>
      </c>
      <c r="H12" s="24">
        <v>46150.021365740744</v>
      </c>
    </row>
    <row r="13">
      <c r="A13" s="12" t="s">
        <v>1400</v>
      </c>
      <c r="B13" s="12" t="s">
        <v>58</v>
      </c>
      <c r="C13" s="43" t="s">
        <v>1401</v>
      </c>
      <c r="D13" s="43" t="s">
        <v>59</v>
      </c>
      <c r="E13" s="29" t="s">
        <v>60</v>
      </c>
      <c r="F13" s="24">
        <v>46150.03239583333</v>
      </c>
      <c r="G13" s="43" t="s">
        <v>1289</v>
      </c>
      <c r="H13" s="24">
        <v>46151.630740740744</v>
      </c>
    </row>
    <row r="14">
      <c r="A14" s="12" t="s">
        <v>1402</v>
      </c>
      <c r="B14" s="12" t="s">
        <v>701</v>
      </c>
      <c r="C14" s="43" t="s">
        <v>1403</v>
      </c>
      <c r="D14" s="43" t="s">
        <v>702</v>
      </c>
      <c r="E14" s="29" t="s">
        <v>703</v>
      </c>
      <c r="F14" s="24">
        <v>46150.04131944444</v>
      </c>
      <c r="G14" s="43" t="s">
        <v>1289</v>
      </c>
      <c r="H14" s="24">
        <v>46151.62226851852</v>
      </c>
    </row>
    <row r="15">
      <c r="A15" s="12" t="s">
        <v>1404</v>
      </c>
      <c r="B15" s="12" t="s">
        <v>993</v>
      </c>
      <c r="C15" s="43" t="s">
        <v>1405</v>
      </c>
      <c r="D15" s="12" t="s">
        <v>994</v>
      </c>
      <c r="E15" s="29" t="s">
        <v>995</v>
      </c>
      <c r="F15" s="24">
        <v>46150.07829861111</v>
      </c>
      <c r="G15" s="43" t="s">
        <v>1289</v>
      </c>
      <c r="H15" s="24">
        <v>46150.3881712963</v>
      </c>
    </row>
    <row r="16">
      <c r="A16" s="12" t="s">
        <v>1406</v>
      </c>
      <c r="B16" s="12" t="s">
        <v>327</v>
      </c>
      <c r="C16" s="43" t="s">
        <v>1407</v>
      </c>
      <c r="D16" s="43" t="s">
        <v>328</v>
      </c>
      <c r="E16" s="29" t="s">
        <v>329</v>
      </c>
      <c r="F16" s="24">
        <v>46150.0919212963</v>
      </c>
      <c r="G16" s="43" t="s">
        <v>1293</v>
      </c>
      <c r="H16" s="24">
        <v>46150.0919212963</v>
      </c>
    </row>
    <row r="17">
      <c r="A17" s="12" t="s">
        <v>1408</v>
      </c>
      <c r="B17" s="12" t="s">
        <v>135</v>
      </c>
      <c r="C17" s="43" t="s">
        <v>1409</v>
      </c>
      <c r="D17" s="12" t="s">
        <v>136</v>
      </c>
      <c r="E17" s="29" t="s">
        <v>137</v>
      </c>
      <c r="F17" s="24">
        <v>46150.31422453704</v>
      </c>
      <c r="G17" s="43" t="s">
        <v>1289</v>
      </c>
      <c r="H17" s="24">
        <v>46151.60983796296</v>
      </c>
    </row>
    <row r="18">
      <c r="A18" s="12" t="s">
        <v>1410</v>
      </c>
      <c r="B18" s="12" t="s">
        <v>337</v>
      </c>
      <c r="C18" s="43" t="s">
        <v>1411</v>
      </c>
      <c r="D18" s="12" t="s">
        <v>338</v>
      </c>
      <c r="E18" s="29" t="s">
        <v>339</v>
      </c>
      <c r="F18" s="24">
        <v>46150.38476851852</v>
      </c>
      <c r="G18" s="43" t="s">
        <v>1289</v>
      </c>
      <c r="H18" s="24">
        <v>46151.71753472222</v>
      </c>
    </row>
    <row r="19">
      <c r="A19" s="12" t="s">
        <v>1412</v>
      </c>
      <c r="B19" s="12" t="s">
        <v>15</v>
      </c>
      <c r="C19" s="43" t="s">
        <v>1413</v>
      </c>
      <c r="D19" s="12" t="s">
        <v>16</v>
      </c>
      <c r="E19" s="29" t="s">
        <v>17</v>
      </c>
      <c r="F19" s="24">
        <v>46150.4762962963</v>
      </c>
      <c r="G19" s="43" t="s">
        <v>1289</v>
      </c>
      <c r="H19" s="24">
        <v>46151.74668981481</v>
      </c>
    </row>
    <row r="20">
      <c r="A20" s="12" t="s">
        <v>1414</v>
      </c>
      <c r="B20" s="12" t="s">
        <v>315</v>
      </c>
      <c r="C20" s="43" t="s">
        <v>1415</v>
      </c>
      <c r="D20" s="43" t="s">
        <v>316</v>
      </c>
      <c r="E20" s="29" t="s">
        <v>317</v>
      </c>
      <c r="F20" s="24">
        <v>46150.483877314815</v>
      </c>
      <c r="G20" s="43" t="s">
        <v>1293</v>
      </c>
      <c r="H20" s="24">
        <v>46150.483877314815</v>
      </c>
    </row>
    <row r="21">
      <c r="A21" s="12" t="s">
        <v>1416</v>
      </c>
      <c r="B21" s="12" t="s">
        <v>366</v>
      </c>
      <c r="C21" s="43" t="s">
        <v>1417</v>
      </c>
      <c r="D21" s="43" t="s">
        <v>367</v>
      </c>
      <c r="E21" s="29" t="s">
        <v>368</v>
      </c>
      <c r="F21" s="24">
        <v>46150.561423611114</v>
      </c>
      <c r="G21" s="43" t="s">
        <v>1289</v>
      </c>
      <c r="H21" s="24">
        <v>46151.662627314814</v>
      </c>
    </row>
    <row r="22">
      <c r="A22" s="12" t="s">
        <v>1418</v>
      </c>
      <c r="B22" s="12" t="s">
        <v>461</v>
      </c>
      <c r="C22" s="43" t="s">
        <v>1419</v>
      </c>
      <c r="D22" s="43" t="s">
        <v>462</v>
      </c>
      <c r="E22" s="29" t="s">
        <v>463</v>
      </c>
      <c r="F22" s="24">
        <v>46150.58731481482</v>
      </c>
      <c r="G22" s="43" t="s">
        <v>1289</v>
      </c>
      <c r="H22" s="24">
        <v>46151.599444444444</v>
      </c>
    </row>
    <row r="23">
      <c r="A23" s="12" t="s">
        <v>1420</v>
      </c>
      <c r="B23" s="12" t="s">
        <v>1140</v>
      </c>
      <c r="C23" s="43" t="s">
        <v>1421</v>
      </c>
      <c r="D23" s="43" t="s">
        <v>96</v>
      </c>
      <c r="E23" s="29" t="s">
        <v>1141</v>
      </c>
      <c r="F23" s="24">
        <v>46150.68677083333</v>
      </c>
      <c r="G23" s="43" t="s">
        <v>1293</v>
      </c>
      <c r="H23" s="24">
        <v>46150.68677083333</v>
      </c>
    </row>
    <row r="24">
      <c r="A24" s="12" t="s">
        <v>1422</v>
      </c>
      <c r="B24" s="12" t="s">
        <v>1130</v>
      </c>
      <c r="C24" s="43" t="s">
        <v>1423</v>
      </c>
      <c r="D24" s="12" t="s">
        <v>1131</v>
      </c>
      <c r="E24" s="29" t="s">
        <v>1132</v>
      </c>
      <c r="F24" s="24">
        <v>46150.771944444445</v>
      </c>
      <c r="G24" s="43" t="s">
        <v>1289</v>
      </c>
      <c r="H24" s="24">
        <v>46151.68454861111</v>
      </c>
    </row>
    <row r="25">
      <c r="A25" s="12" t="s">
        <v>1424</v>
      </c>
      <c r="B25" s="12" t="s">
        <v>33</v>
      </c>
      <c r="C25" s="43" t="s">
        <v>1425</v>
      </c>
      <c r="D25" s="43" t="s">
        <v>34</v>
      </c>
      <c r="E25" s="29" t="s">
        <v>35</v>
      </c>
      <c r="F25" s="24">
        <v>46150.78685185185</v>
      </c>
      <c r="G25" s="43" t="s">
        <v>1289</v>
      </c>
      <c r="H25" s="24">
        <v>46151.63653935185</v>
      </c>
    </row>
    <row r="26">
      <c r="A26" s="12" t="s">
        <v>1426</v>
      </c>
      <c r="B26" s="12" t="s">
        <v>977</v>
      </c>
      <c r="C26" s="43" t="s">
        <v>1427</v>
      </c>
      <c r="D26" s="43" t="s">
        <v>978</v>
      </c>
      <c r="E26" s="29" t="s">
        <v>979</v>
      </c>
      <c r="F26" s="24">
        <v>46150.80877314815</v>
      </c>
      <c r="G26" s="43" t="s">
        <v>1289</v>
      </c>
      <c r="H26" s="24">
        <v>46151.53023148148</v>
      </c>
    </row>
    <row r="27">
      <c r="A27" s="12" t="s">
        <v>1428</v>
      </c>
      <c r="B27" s="12" t="s">
        <v>251</v>
      </c>
      <c r="C27" s="43" t="s">
        <v>1429</v>
      </c>
      <c r="D27" s="43" t="s">
        <v>252</v>
      </c>
      <c r="E27" s="29" t="s">
        <v>253</v>
      </c>
      <c r="F27" s="24">
        <v>46150.84447916667</v>
      </c>
      <c r="G27" s="43" t="s">
        <v>1289</v>
      </c>
      <c r="H27" s="24">
        <v>46151.75895833333</v>
      </c>
    </row>
    <row r="28">
      <c r="A28" s="12" t="s">
        <v>1430</v>
      </c>
      <c r="B28" s="12" t="s">
        <v>926</v>
      </c>
      <c r="C28" s="43" t="s">
        <v>1431</v>
      </c>
      <c r="D28" s="43" t="s">
        <v>927</v>
      </c>
      <c r="E28" s="29" t="s">
        <v>928</v>
      </c>
      <c r="F28" s="24">
        <v>46150.94049768519</v>
      </c>
      <c r="G28" s="43" t="s">
        <v>1293</v>
      </c>
      <c r="H28" s="24">
        <v>46150.94049768519</v>
      </c>
    </row>
    <row r="29">
      <c r="A29" s="12" t="s">
        <v>1432</v>
      </c>
      <c r="B29" s="12" t="s">
        <v>545</v>
      </c>
      <c r="C29" s="43" t="s">
        <v>1433</v>
      </c>
      <c r="D29" s="12" t="s">
        <v>546</v>
      </c>
      <c r="E29" s="29" t="s">
        <v>547</v>
      </c>
      <c r="F29" s="24">
        <v>46151.43130787037</v>
      </c>
      <c r="G29" s="43" t="s">
        <v>1293</v>
      </c>
      <c r="H29" s="24">
        <v>46151.43130787037</v>
      </c>
    </row>
    <row r="30">
      <c r="A30" s="12" t="s">
        <v>1434</v>
      </c>
      <c r="B30" s="12" t="s">
        <v>77</v>
      </c>
      <c r="C30" s="43" t="s">
        <v>1435</v>
      </c>
      <c r="D30" s="12" t="s">
        <v>78</v>
      </c>
      <c r="E30" s="29" t="s">
        <v>79</v>
      </c>
      <c r="F30" s="24">
        <v>46151.51982638889</v>
      </c>
      <c r="G30" s="43" t="s">
        <v>1289</v>
      </c>
      <c r="H30" s="24">
        <v>46151.6280787037</v>
      </c>
    </row>
    <row r="31">
      <c r="A31" s="12" t="s">
        <v>1436</v>
      </c>
      <c r="B31" s="12" t="s">
        <v>764</v>
      </c>
      <c r="C31" s="43" t="s">
        <v>1437</v>
      </c>
      <c r="D31" s="12" t="s">
        <v>765</v>
      </c>
      <c r="E31" s="29" t="s">
        <v>766</v>
      </c>
      <c r="F31" s="24">
        <v>46151.60318287037</v>
      </c>
      <c r="G31" s="43" t="s">
        <v>1293</v>
      </c>
      <c r="H31" s="24">
        <v>46151.60318287037</v>
      </c>
    </row>
    <row r="32">
      <c r="A32" s="12" t="s">
        <v>1438</v>
      </c>
      <c r="B32" s="12" t="s">
        <v>500</v>
      </c>
      <c r="C32" s="43" t="s">
        <v>1439</v>
      </c>
      <c r="D32" s="12" t="s">
        <v>501</v>
      </c>
      <c r="E32" s="29" t="s">
        <v>502</v>
      </c>
      <c r="F32" s="24">
        <v>46151.60383101852</v>
      </c>
      <c r="G32" s="43" t="s">
        <v>1293</v>
      </c>
      <c r="H32" s="24">
        <v>46151.60383101852</v>
      </c>
    </row>
    <row r="33">
      <c r="A33" s="12" t="s">
        <v>1440</v>
      </c>
      <c r="B33" s="12" t="s">
        <v>1152</v>
      </c>
      <c r="C33" s="43" t="s">
        <v>1441</v>
      </c>
      <c r="D33" s="12" t="s">
        <v>1153</v>
      </c>
      <c r="E33" s="29" t="s">
        <v>1154</v>
      </c>
      <c r="F33" s="24">
        <v>46151.60461805556</v>
      </c>
      <c r="G33" s="43" t="s">
        <v>1293</v>
      </c>
      <c r="H33" s="24">
        <v>46151.60461805556</v>
      </c>
    </row>
    <row r="34">
      <c r="A34" s="12" t="s">
        <v>1442</v>
      </c>
      <c r="B34" s="12" t="s">
        <v>1158</v>
      </c>
      <c r="C34" s="43" t="s">
        <v>1443</v>
      </c>
      <c r="D34" s="12" t="s">
        <v>1159</v>
      </c>
      <c r="E34" s="29" t="s">
        <v>1160</v>
      </c>
      <c r="F34" s="24">
        <v>46151.611284722225</v>
      </c>
      <c r="G34" s="43" t="s">
        <v>1293</v>
      </c>
      <c r="H34" s="24">
        <v>46151.611284722225</v>
      </c>
    </row>
    <row r="35">
      <c r="A35" s="12" t="s">
        <v>1444</v>
      </c>
      <c r="B35" s="12" t="s">
        <v>1164</v>
      </c>
      <c r="C35" s="43" t="s">
        <v>1445</v>
      </c>
      <c r="D35" s="43" t="s">
        <v>1165</v>
      </c>
      <c r="E35" s="29" t="s">
        <v>1166</v>
      </c>
      <c r="F35" s="24">
        <v>46151.63246527778</v>
      </c>
      <c r="G35" s="43" t="s">
        <v>1293</v>
      </c>
      <c r="H35" s="24">
        <v>46151.63246527778</v>
      </c>
    </row>
    <row r="36">
      <c r="A36" s="12" t="s">
        <v>1446</v>
      </c>
      <c r="B36" s="12" t="s">
        <v>171</v>
      </c>
      <c r="C36" s="43" t="s">
        <v>1447</v>
      </c>
      <c r="D36" s="12" t="s">
        <v>172</v>
      </c>
      <c r="E36" s="29" t="s">
        <v>173</v>
      </c>
      <c r="F36" s="24">
        <v>46151.634108796294</v>
      </c>
      <c r="G36" s="43" t="s">
        <v>1293</v>
      </c>
      <c r="H36" s="24">
        <v>46151.634108796294</v>
      </c>
    </row>
    <row r="37">
      <c r="A37" s="12" t="s">
        <v>1448</v>
      </c>
      <c r="B37" s="12" t="s">
        <v>1169</v>
      </c>
      <c r="C37" s="43" t="s">
        <v>1449</v>
      </c>
      <c r="D37" s="12" t="s">
        <v>907</v>
      </c>
      <c r="E37" s="29" t="s">
        <v>1171</v>
      </c>
      <c r="F37" s="24">
        <v>46151.63516203704</v>
      </c>
      <c r="G37" s="43" t="s">
        <v>1293</v>
      </c>
      <c r="H37" s="24">
        <v>46151.63516203704</v>
      </c>
    </row>
    <row r="38">
      <c r="A38" s="12" t="s">
        <v>1450</v>
      </c>
      <c r="B38" s="12" t="s">
        <v>1174</v>
      </c>
      <c r="C38" s="43" t="s">
        <v>1451</v>
      </c>
      <c r="D38" s="43" t="s">
        <v>355</v>
      </c>
      <c r="E38" s="29" t="s">
        <v>1175</v>
      </c>
      <c r="F38" s="24">
        <v>46151.642430555556</v>
      </c>
      <c r="G38" s="43" t="s">
        <v>1293</v>
      </c>
      <c r="H38" s="24">
        <v>46151.642430555556</v>
      </c>
    </row>
    <row r="39">
      <c r="A39" s="12" t="s">
        <v>1452</v>
      </c>
      <c r="B39" s="12" t="s">
        <v>1178</v>
      </c>
      <c r="C39" s="43" t="s">
        <v>1453</v>
      </c>
      <c r="D39" s="43" t="s">
        <v>1179</v>
      </c>
      <c r="E39" s="29" t="s">
        <v>1180</v>
      </c>
      <c r="F39" s="24">
        <v>46151.680601851855</v>
      </c>
      <c r="G39" s="43" t="s">
        <v>1293</v>
      </c>
      <c r="H39" s="24">
        <v>46151.680601851855</v>
      </c>
    </row>
    <row r="40">
      <c r="A40" s="12" t="s">
        <v>1454</v>
      </c>
      <c r="B40" s="12" t="s">
        <v>802</v>
      </c>
      <c r="C40" s="43" t="s">
        <v>1455</v>
      </c>
      <c r="D40" s="43" t="s">
        <v>803</v>
      </c>
      <c r="E40" s="29" t="s">
        <v>804</v>
      </c>
      <c r="F40" s="24">
        <v>46151.68814814815</v>
      </c>
      <c r="G40" s="43" t="s">
        <v>1293</v>
      </c>
      <c r="H40" s="24">
        <v>46151.68814814815</v>
      </c>
    </row>
    <row r="41">
      <c r="A41" s="12" t="s">
        <v>1456</v>
      </c>
      <c r="B41" s="12" t="s">
        <v>781</v>
      </c>
      <c r="C41" s="43" t="s">
        <v>1457</v>
      </c>
      <c r="D41" s="43" t="s">
        <v>782</v>
      </c>
      <c r="E41" s="29" t="s">
        <v>783</v>
      </c>
      <c r="F41" s="24">
        <v>46151.689618055556</v>
      </c>
      <c r="G41" s="43" t="s">
        <v>1293</v>
      </c>
      <c r="H41" s="24">
        <v>46151.689618055556</v>
      </c>
    </row>
    <row r="42">
      <c r="A42" s="12" t="s">
        <v>1458</v>
      </c>
      <c r="B42" s="12" t="s">
        <v>1114</v>
      </c>
      <c r="C42" s="43" t="s">
        <v>1459</v>
      </c>
      <c r="D42" s="43" t="s">
        <v>1115</v>
      </c>
      <c r="E42" s="29" t="s">
        <v>1116</v>
      </c>
      <c r="F42" s="24">
        <v>46151.70392361111</v>
      </c>
      <c r="G42" s="43" t="s">
        <v>1293</v>
      </c>
      <c r="H42" s="24">
        <v>46151.70392361111</v>
      </c>
    </row>
    <row r="43">
      <c r="A43" s="12" t="s">
        <v>1460</v>
      </c>
      <c r="B43" s="12" t="s">
        <v>27</v>
      </c>
      <c r="C43" s="43" t="s">
        <v>1461</v>
      </c>
      <c r="D43" s="12" t="s">
        <v>28</v>
      </c>
      <c r="E43" s="29" t="s">
        <v>29</v>
      </c>
      <c r="F43" s="24">
        <v>46151.723020833335</v>
      </c>
      <c r="G43" s="43" t="s">
        <v>1293</v>
      </c>
      <c r="H43" s="24">
        <v>46151.723020833335</v>
      </c>
    </row>
    <row r="44">
      <c r="A44" s="12" t="s">
        <v>1462</v>
      </c>
      <c r="B44" s="12" t="s">
        <v>1188</v>
      </c>
      <c r="C44" s="43" t="s">
        <v>1463</v>
      </c>
      <c r="D44" s="43" t="s">
        <v>1189</v>
      </c>
      <c r="E44" s="29" t="s">
        <v>1190</v>
      </c>
      <c r="F44" s="24">
        <v>46151.732939814814</v>
      </c>
      <c r="G44" s="43" t="s">
        <v>1293</v>
      </c>
      <c r="H44" s="24">
        <v>46151.732939814814</v>
      </c>
    </row>
    <row r="45">
      <c r="A45" s="12" t="s">
        <v>1464</v>
      </c>
      <c r="B45" s="12" t="s">
        <v>631</v>
      </c>
      <c r="C45" s="43" t="s">
        <v>1465</v>
      </c>
      <c r="D45" s="12" t="s">
        <v>632</v>
      </c>
      <c r="E45" s="29" t="s">
        <v>633</v>
      </c>
      <c r="F45" s="24">
        <v>46151.74193287037</v>
      </c>
      <c r="G45" s="43" t="s">
        <v>1293</v>
      </c>
      <c r="H45" s="24">
        <v>46151.74193287037</v>
      </c>
    </row>
    <row r="46">
      <c r="A46" s="12" t="s">
        <v>1466</v>
      </c>
      <c r="B46" s="12" t="s">
        <v>1092</v>
      </c>
      <c r="C46" s="43" t="s">
        <v>1467</v>
      </c>
      <c r="D46" s="43" t="s">
        <v>1093</v>
      </c>
      <c r="E46" s="29" t="s">
        <v>1094</v>
      </c>
      <c r="F46" s="24">
        <v>46151.74664351852</v>
      </c>
      <c r="G46" s="43" t="s">
        <v>1293</v>
      </c>
      <c r="H46" s="24">
        <v>46151.74664351852</v>
      </c>
    </row>
    <row r="47">
      <c r="A47" s="12" t="s">
        <v>1468</v>
      </c>
      <c r="B47" s="12" t="s">
        <v>1183</v>
      </c>
      <c r="C47" s="43" t="s">
        <v>1469</v>
      </c>
      <c r="D47" s="43" t="s">
        <v>1184</v>
      </c>
      <c r="E47" s="29" t="s">
        <v>1185</v>
      </c>
      <c r="F47" s="24">
        <v>46151.758935185186</v>
      </c>
      <c r="G47" s="43" t="s">
        <v>1293</v>
      </c>
      <c r="H47" s="24">
        <v>46151.758935185186</v>
      </c>
    </row>
    <row r="48">
      <c r="A48" s="12" t="s">
        <v>1470</v>
      </c>
      <c r="B48" s="12" t="s">
        <v>401</v>
      </c>
      <c r="C48" s="43" t="s">
        <v>1471</v>
      </c>
      <c r="D48" s="12" t="s">
        <v>402</v>
      </c>
      <c r="E48" s="29" t="s">
        <v>403</v>
      </c>
      <c r="F48" s="24">
        <v>46151.76357638889</v>
      </c>
      <c r="G48" s="43" t="s">
        <v>1293</v>
      </c>
      <c r="H48" s="24">
        <v>46151.76357638889</v>
      </c>
    </row>
    <row r="49">
      <c r="E49" s="42"/>
    </row>
    <row r="50">
      <c r="E50" s="42"/>
    </row>
    <row r="51">
      <c r="E51" s="42"/>
    </row>
    <row r="52">
      <c r="A52" s="39" t="s">
        <v>1282</v>
      </c>
      <c r="B52" s="39" t="s">
        <v>1283</v>
      </c>
      <c r="C52" s="39" t="s">
        <v>1284</v>
      </c>
      <c r="D52" s="40" t="s">
        <v>1</v>
      </c>
      <c r="E52" s="41" t="s">
        <v>2</v>
      </c>
      <c r="F52" s="40" t="s">
        <v>1285</v>
      </c>
      <c r="G52" s="40" t="s">
        <v>1286</v>
      </c>
      <c r="H52" s="40" t="s">
        <v>1285</v>
      </c>
    </row>
    <row r="53">
      <c r="A53" s="12" t="s">
        <v>1472</v>
      </c>
      <c r="B53" s="12" t="s">
        <v>988</v>
      </c>
      <c r="C53" s="43" t="s">
        <v>1473</v>
      </c>
      <c r="D53" s="12" t="s">
        <v>989</v>
      </c>
      <c r="E53" s="29" t="s">
        <v>990</v>
      </c>
      <c r="F53" s="24">
        <v>46152.69976851852</v>
      </c>
      <c r="G53" s="43" t="s">
        <v>1293</v>
      </c>
      <c r="H53" s="24">
        <v>46152.69976851852</v>
      </c>
      <c r="J53" s="20" t="s">
        <v>992</v>
      </c>
      <c r="O53" s="12" t="s">
        <v>1290</v>
      </c>
    </row>
    <row r="54">
      <c r="A54" s="12" t="s">
        <v>1474</v>
      </c>
      <c r="B54" s="12" t="s">
        <v>1148</v>
      </c>
      <c r="C54" s="43" t="s">
        <v>1475</v>
      </c>
      <c r="D54" s="12" t="s">
        <v>687</v>
      </c>
      <c r="E54" s="29" t="s">
        <v>1149</v>
      </c>
      <c r="F54" s="24">
        <v>46152.88989583333</v>
      </c>
      <c r="G54" s="43" t="s">
        <v>1293</v>
      </c>
      <c r="H54" s="24">
        <v>46152.88989583333</v>
      </c>
      <c r="J54" s="20" t="s">
        <v>1151</v>
      </c>
      <c r="O54" s="12" t="s">
        <v>1290</v>
      </c>
    </row>
    <row r="55">
      <c r="A55" s="12" t="s">
        <v>1476</v>
      </c>
      <c r="B55" s="12" t="s">
        <v>726</v>
      </c>
      <c r="C55" s="43" t="s">
        <v>1477</v>
      </c>
      <c r="D55" s="12" t="s">
        <v>727</v>
      </c>
      <c r="E55" s="29" t="s">
        <v>728</v>
      </c>
      <c r="F55" s="24">
        <v>46154.404444444444</v>
      </c>
      <c r="G55" s="43" t="s">
        <v>1293</v>
      </c>
      <c r="H55" s="24">
        <v>46154.404444444444</v>
      </c>
      <c r="J55" s="20" t="s">
        <v>731</v>
      </c>
      <c r="O55" s="12" t="s">
        <v>1290</v>
      </c>
    </row>
    <row r="56">
      <c r="A56" s="12" t="s">
        <v>1478</v>
      </c>
      <c r="B56" s="12" t="s">
        <v>916</v>
      </c>
      <c r="C56" s="43" t="s">
        <v>1479</v>
      </c>
      <c r="D56" s="12" t="s">
        <v>917</v>
      </c>
      <c r="E56" s="29" t="s">
        <v>918</v>
      </c>
      <c r="F56" s="24">
        <v>46155.52600694444</v>
      </c>
      <c r="G56" s="43" t="s">
        <v>1293</v>
      </c>
      <c r="H56" s="24">
        <v>46155.52600694444</v>
      </c>
      <c r="J56" s="20" t="s">
        <v>920</v>
      </c>
      <c r="O56" s="12" t="s">
        <v>1290</v>
      </c>
    </row>
    <row r="57">
      <c r="A57" s="12" t="s">
        <v>1480</v>
      </c>
      <c r="B57" s="12" t="s">
        <v>1022</v>
      </c>
      <c r="C57" s="43" t="s">
        <v>1481</v>
      </c>
      <c r="D57" s="43" t="s">
        <v>1023</v>
      </c>
      <c r="E57" s="29" t="s">
        <v>1024</v>
      </c>
      <c r="F57" s="24">
        <v>46155.57644675926</v>
      </c>
      <c r="G57" s="43" t="s">
        <v>1293</v>
      </c>
      <c r="H57" s="24">
        <v>46155.57644675926</v>
      </c>
      <c r="J57" s="20" t="s">
        <v>1027</v>
      </c>
      <c r="O57" s="12" t="s">
        <v>1290</v>
      </c>
    </row>
    <row r="58">
      <c r="A58" s="12" t="s">
        <v>1482</v>
      </c>
      <c r="B58" s="12" t="s">
        <v>33</v>
      </c>
      <c r="C58" s="43" t="s">
        <v>1483</v>
      </c>
      <c r="D58" s="43" t="s">
        <v>34</v>
      </c>
      <c r="E58" s="29" t="s">
        <v>35</v>
      </c>
      <c r="F58" s="24">
        <v>46155.58086805556</v>
      </c>
      <c r="G58" s="43" t="s">
        <v>1293</v>
      </c>
      <c r="H58" s="24">
        <v>46155.58086805556</v>
      </c>
      <c r="J58" s="20" t="s">
        <v>38</v>
      </c>
      <c r="O58" s="12" t="s">
        <v>1290</v>
      </c>
    </row>
    <row r="59">
      <c r="A59" s="12" t="s">
        <v>1484</v>
      </c>
      <c r="B59" s="12" t="s">
        <v>327</v>
      </c>
      <c r="C59" s="43" t="s">
        <v>1485</v>
      </c>
      <c r="D59" s="43" t="s">
        <v>328</v>
      </c>
      <c r="E59" s="29" t="s">
        <v>329</v>
      </c>
      <c r="F59" s="24">
        <v>46155.756747685184</v>
      </c>
      <c r="G59" s="43" t="s">
        <v>1293</v>
      </c>
      <c r="H59" s="24">
        <v>46155.756747685184</v>
      </c>
      <c r="J59" s="20" t="s">
        <v>331</v>
      </c>
      <c r="O59" s="12" t="s">
        <v>1290</v>
      </c>
    </row>
    <row r="60">
      <c r="A60" s="12" t="s">
        <v>1486</v>
      </c>
      <c r="B60" s="12" t="s">
        <v>166</v>
      </c>
      <c r="C60" s="43" t="s">
        <v>1487</v>
      </c>
      <c r="D60" s="43" t="s">
        <v>167</v>
      </c>
      <c r="E60" s="29" t="s">
        <v>168</v>
      </c>
      <c r="F60" s="24">
        <v>46155.88707175926</v>
      </c>
      <c r="G60" s="43" t="s">
        <v>1293</v>
      </c>
      <c r="H60" s="24">
        <v>46155.88707175926</v>
      </c>
      <c r="J60" s="20" t="s">
        <v>170</v>
      </c>
      <c r="O60" s="12" t="s">
        <v>1290</v>
      </c>
    </row>
    <row r="61">
      <c r="A61" s="12" t="s">
        <v>1488</v>
      </c>
      <c r="B61" s="12" t="s">
        <v>89</v>
      </c>
      <c r="C61" s="43" t="s">
        <v>1489</v>
      </c>
      <c r="D61" s="43" t="s">
        <v>90</v>
      </c>
      <c r="E61" s="29" t="s">
        <v>91</v>
      </c>
      <c r="F61" s="24">
        <v>46155.891076388885</v>
      </c>
      <c r="G61" s="43" t="s">
        <v>1293</v>
      </c>
      <c r="H61" s="24">
        <v>46155.891076388885</v>
      </c>
      <c r="J61" s="20" t="s">
        <v>94</v>
      </c>
      <c r="O61" s="12" t="s">
        <v>1290</v>
      </c>
    </row>
    <row r="62">
      <c r="A62" s="12" t="s">
        <v>1490</v>
      </c>
      <c r="B62" s="12" t="s">
        <v>1096</v>
      </c>
      <c r="C62" s="43" t="s">
        <v>1491</v>
      </c>
      <c r="D62" s="43" t="s">
        <v>1097</v>
      </c>
      <c r="E62" s="29" t="s">
        <v>1098</v>
      </c>
      <c r="F62" s="24">
        <v>46155.944131944445</v>
      </c>
      <c r="G62" s="43" t="s">
        <v>1293</v>
      </c>
      <c r="H62" s="24">
        <v>46155.944131944445</v>
      </c>
      <c r="J62" s="20" t="s">
        <v>1101</v>
      </c>
      <c r="O62" s="12" t="s">
        <v>1290</v>
      </c>
    </row>
    <row r="63">
      <c r="A63" s="12" t="s">
        <v>1492</v>
      </c>
      <c r="B63" s="12" t="s">
        <v>1204</v>
      </c>
      <c r="C63" s="43" t="s">
        <v>1493</v>
      </c>
      <c r="D63" s="12" t="s">
        <v>1205</v>
      </c>
      <c r="E63" s="29" t="s">
        <v>1206</v>
      </c>
      <c r="F63" s="24">
        <v>46155.981516203705</v>
      </c>
      <c r="G63" s="43" t="s">
        <v>1293</v>
      </c>
      <c r="H63" s="24">
        <v>46155.981516203705</v>
      </c>
      <c r="J63" s="20" t="s">
        <v>1209</v>
      </c>
      <c r="O63" s="12" t="s">
        <v>1290</v>
      </c>
    </row>
    <row r="64">
      <c r="A64" s="12" t="s">
        <v>1494</v>
      </c>
      <c r="B64" s="12" t="s">
        <v>754</v>
      </c>
      <c r="C64" s="43" t="s">
        <v>1495</v>
      </c>
      <c r="D64" s="12" t="s">
        <v>755</v>
      </c>
      <c r="E64" s="29" t="s">
        <v>756</v>
      </c>
      <c r="F64" s="24">
        <v>46156.00450231481</v>
      </c>
      <c r="G64" s="43" t="s">
        <v>1293</v>
      </c>
      <c r="H64" s="24">
        <v>46156.00450231481</v>
      </c>
      <c r="J64" s="20" t="s">
        <v>758</v>
      </c>
      <c r="O64" s="12" t="s">
        <v>1290</v>
      </c>
    </row>
    <row r="65">
      <c r="A65" s="12" t="s">
        <v>1496</v>
      </c>
      <c r="B65" s="12" t="s">
        <v>15</v>
      </c>
      <c r="C65" s="43" t="s">
        <v>1497</v>
      </c>
      <c r="D65" s="12" t="s">
        <v>16</v>
      </c>
      <c r="E65" s="29" t="s">
        <v>17</v>
      </c>
      <c r="F65" s="24">
        <v>46156.62299768518</v>
      </c>
      <c r="G65" s="43" t="s">
        <v>1293</v>
      </c>
      <c r="H65" s="24">
        <v>46156.62299768518</v>
      </c>
      <c r="J65" s="20" t="s">
        <v>20</v>
      </c>
      <c r="O65" s="12" t="s">
        <v>1290</v>
      </c>
    </row>
    <row r="66">
      <c r="E66" s="42"/>
    </row>
    <row r="67">
      <c r="E67" s="42"/>
    </row>
    <row r="68">
      <c r="E68" s="42"/>
    </row>
    <row r="69">
      <c r="E69" s="42"/>
    </row>
    <row r="70">
      <c r="E70" s="42"/>
    </row>
    <row r="71">
      <c r="E71" s="42"/>
    </row>
    <row r="72">
      <c r="E72" s="42"/>
    </row>
    <row r="73">
      <c r="E73" s="42"/>
    </row>
    <row r="74">
      <c r="E74" s="42"/>
    </row>
    <row r="75">
      <c r="E75" s="42"/>
    </row>
    <row r="76">
      <c r="E76" s="42"/>
    </row>
    <row r="77">
      <c r="E77" s="42"/>
    </row>
    <row r="78">
      <c r="E78" s="42"/>
    </row>
    <row r="79">
      <c r="E79" s="42"/>
    </row>
    <row r="80">
      <c r="E80" s="42"/>
    </row>
    <row r="81">
      <c r="E81" s="42"/>
    </row>
    <row r="82">
      <c r="E82" s="42"/>
    </row>
    <row r="83">
      <c r="E83" s="42"/>
    </row>
    <row r="84">
      <c r="E84" s="42"/>
    </row>
    <row r="85">
      <c r="E85" s="42"/>
    </row>
    <row r="86">
      <c r="E86" s="42"/>
    </row>
    <row r="87">
      <c r="E87" s="42"/>
    </row>
    <row r="88">
      <c r="E88" s="42"/>
    </row>
    <row r="89">
      <c r="E89" s="42"/>
    </row>
    <row r="90">
      <c r="E90" s="42"/>
    </row>
    <row r="91">
      <c r="E91" s="42"/>
    </row>
    <row r="92">
      <c r="E92" s="42"/>
    </row>
    <row r="93">
      <c r="E93" s="42"/>
    </row>
    <row r="94">
      <c r="E94" s="42"/>
    </row>
    <row r="95">
      <c r="E95" s="42"/>
    </row>
    <row r="96">
      <c r="E96" s="42"/>
    </row>
    <row r="97">
      <c r="E97" s="42"/>
    </row>
    <row r="98">
      <c r="E98" s="42"/>
    </row>
    <row r="99">
      <c r="E99" s="42"/>
    </row>
    <row r="100">
      <c r="E100" s="42"/>
    </row>
    <row r="101">
      <c r="E101" s="42"/>
    </row>
    <row r="102">
      <c r="E102" s="42"/>
    </row>
    <row r="103">
      <c r="E103" s="42"/>
    </row>
    <row r="104">
      <c r="E104" s="42"/>
    </row>
    <row r="105">
      <c r="E105" s="42"/>
    </row>
    <row r="106">
      <c r="E106" s="42"/>
    </row>
    <row r="107">
      <c r="E107" s="42"/>
    </row>
    <row r="108">
      <c r="E108" s="42"/>
    </row>
    <row r="109">
      <c r="E109" s="42"/>
    </row>
    <row r="110">
      <c r="E110" s="42"/>
    </row>
    <row r="111">
      <c r="E111" s="42"/>
    </row>
    <row r="112">
      <c r="E112" s="42"/>
    </row>
    <row r="113">
      <c r="E113" s="42"/>
    </row>
    <row r="114">
      <c r="E114" s="42"/>
    </row>
    <row r="115">
      <c r="E115" s="42"/>
    </row>
    <row r="116">
      <c r="E116" s="42"/>
    </row>
    <row r="117">
      <c r="E117" s="42"/>
    </row>
    <row r="118">
      <c r="E118" s="42"/>
    </row>
    <row r="119">
      <c r="E119" s="42"/>
    </row>
    <row r="120">
      <c r="E120" s="42"/>
    </row>
    <row r="121">
      <c r="E121" s="42"/>
    </row>
    <row r="122">
      <c r="E122" s="42"/>
    </row>
    <row r="123">
      <c r="E123" s="42"/>
    </row>
    <row r="124">
      <c r="E124" s="42"/>
    </row>
    <row r="125">
      <c r="E125" s="42"/>
    </row>
    <row r="126">
      <c r="E126" s="42"/>
    </row>
    <row r="127">
      <c r="E127" s="42"/>
    </row>
    <row r="128">
      <c r="E128" s="42"/>
    </row>
    <row r="129">
      <c r="E129" s="42"/>
    </row>
    <row r="130">
      <c r="E130" s="42"/>
    </row>
    <row r="131">
      <c r="E131" s="42"/>
    </row>
    <row r="132">
      <c r="E132" s="42"/>
    </row>
    <row r="133">
      <c r="E133" s="42"/>
    </row>
    <row r="134">
      <c r="E134" s="42"/>
    </row>
    <row r="135">
      <c r="E135" s="42"/>
    </row>
    <row r="136">
      <c r="E136" s="42"/>
    </row>
    <row r="137">
      <c r="E137" s="42"/>
    </row>
    <row r="138">
      <c r="E138" s="42"/>
    </row>
    <row r="139">
      <c r="E139" s="42"/>
    </row>
    <row r="140">
      <c r="E140" s="42"/>
    </row>
    <row r="141">
      <c r="E141" s="42"/>
    </row>
    <row r="142">
      <c r="E142" s="42"/>
    </row>
    <row r="143">
      <c r="E143" s="42"/>
    </row>
    <row r="144">
      <c r="E144" s="42"/>
    </row>
    <row r="145">
      <c r="E145" s="42"/>
    </row>
    <row r="146">
      <c r="E146" s="42"/>
    </row>
    <row r="147">
      <c r="E147" s="42"/>
    </row>
    <row r="148">
      <c r="E148" s="42"/>
    </row>
    <row r="149">
      <c r="E149" s="42"/>
    </row>
    <row r="150">
      <c r="E150" s="42"/>
    </row>
    <row r="151">
      <c r="E151" s="42"/>
    </row>
    <row r="152">
      <c r="E152" s="42"/>
    </row>
    <row r="153">
      <c r="E153" s="42"/>
    </row>
    <row r="154">
      <c r="E154" s="42"/>
    </row>
    <row r="155">
      <c r="E155" s="42"/>
    </row>
    <row r="156">
      <c r="E156" s="42"/>
    </row>
    <row r="157">
      <c r="E157" s="42"/>
    </row>
    <row r="158">
      <c r="E158" s="42"/>
    </row>
    <row r="159">
      <c r="E159" s="42"/>
    </row>
    <row r="160">
      <c r="E160" s="42"/>
    </row>
    <row r="161">
      <c r="E161" s="42"/>
    </row>
    <row r="162">
      <c r="E162" s="42"/>
    </row>
    <row r="163">
      <c r="E163" s="42"/>
    </row>
    <row r="164">
      <c r="E164" s="42"/>
    </row>
    <row r="165">
      <c r="E165" s="42"/>
    </row>
    <row r="166">
      <c r="E166" s="42"/>
    </row>
    <row r="167">
      <c r="E167" s="42"/>
    </row>
    <row r="168">
      <c r="E168" s="42"/>
    </row>
    <row r="169">
      <c r="E169" s="42"/>
    </row>
    <row r="170">
      <c r="E170" s="42"/>
    </row>
    <row r="171">
      <c r="E171" s="42"/>
    </row>
    <row r="172">
      <c r="E172" s="42"/>
    </row>
    <row r="173">
      <c r="E173" s="42"/>
    </row>
    <row r="174">
      <c r="E174" s="42"/>
    </row>
    <row r="175">
      <c r="E175" s="42"/>
    </row>
    <row r="176">
      <c r="E176" s="42"/>
    </row>
    <row r="177">
      <c r="E177" s="42"/>
    </row>
    <row r="178">
      <c r="E178" s="42"/>
    </row>
    <row r="179">
      <c r="E179" s="42"/>
    </row>
    <row r="180">
      <c r="E180" s="42"/>
    </row>
    <row r="181">
      <c r="E181" s="42"/>
    </row>
    <row r="182">
      <c r="E182" s="42"/>
    </row>
    <row r="183">
      <c r="E183" s="42"/>
    </row>
    <row r="184">
      <c r="E184" s="42"/>
    </row>
    <row r="185">
      <c r="E185" s="42"/>
    </row>
    <row r="186">
      <c r="E186" s="42"/>
    </row>
    <row r="187">
      <c r="E187" s="42"/>
    </row>
    <row r="188">
      <c r="E188" s="42"/>
    </row>
    <row r="189">
      <c r="E189" s="42"/>
    </row>
    <row r="190">
      <c r="E190" s="42"/>
    </row>
    <row r="191">
      <c r="E191" s="42"/>
    </row>
    <row r="192">
      <c r="E192" s="42"/>
    </row>
    <row r="193">
      <c r="E193" s="42"/>
    </row>
    <row r="194">
      <c r="E194" s="42"/>
    </row>
    <row r="195">
      <c r="E195" s="42"/>
    </row>
    <row r="196">
      <c r="E196" s="42"/>
    </row>
    <row r="197">
      <c r="E197" s="42"/>
    </row>
    <row r="198">
      <c r="E198" s="42"/>
    </row>
    <row r="199">
      <c r="E199" s="42"/>
    </row>
    <row r="200">
      <c r="E200" s="42"/>
    </row>
    <row r="201">
      <c r="E201" s="42"/>
    </row>
    <row r="202">
      <c r="E202" s="42"/>
    </row>
    <row r="203">
      <c r="E203" s="42"/>
    </row>
    <row r="204">
      <c r="E204" s="42"/>
    </row>
    <row r="205">
      <c r="E205" s="42"/>
    </row>
    <row r="206">
      <c r="E206" s="42"/>
    </row>
    <row r="207">
      <c r="E207" s="42"/>
    </row>
    <row r="208">
      <c r="E208" s="42"/>
    </row>
    <row r="209">
      <c r="E209" s="42"/>
    </row>
    <row r="210">
      <c r="E210" s="42"/>
    </row>
    <row r="211">
      <c r="E211" s="42"/>
    </row>
    <row r="212">
      <c r="E212" s="42"/>
    </row>
    <row r="213">
      <c r="E213" s="42"/>
    </row>
    <row r="214">
      <c r="E214" s="42"/>
    </row>
    <row r="215">
      <c r="E215" s="42"/>
    </row>
    <row r="216">
      <c r="E216" s="42"/>
    </row>
    <row r="217">
      <c r="E217" s="42"/>
    </row>
    <row r="218">
      <c r="E218" s="42"/>
    </row>
    <row r="219">
      <c r="E219" s="42"/>
    </row>
    <row r="220">
      <c r="E220" s="42"/>
    </row>
    <row r="221">
      <c r="E221" s="42"/>
    </row>
    <row r="222">
      <c r="E222" s="42"/>
    </row>
    <row r="223">
      <c r="E223" s="42"/>
    </row>
    <row r="224">
      <c r="E224" s="42"/>
    </row>
    <row r="225">
      <c r="E225" s="42"/>
    </row>
    <row r="226">
      <c r="E226" s="42"/>
    </row>
    <row r="227">
      <c r="E227" s="42"/>
    </row>
    <row r="228">
      <c r="E228" s="42"/>
    </row>
    <row r="229">
      <c r="E229" s="42"/>
    </row>
    <row r="230">
      <c r="E230" s="42"/>
    </row>
    <row r="231">
      <c r="E231" s="42"/>
    </row>
    <row r="232">
      <c r="E232" s="42"/>
    </row>
    <row r="233">
      <c r="E233" s="42"/>
    </row>
    <row r="234">
      <c r="E234" s="42"/>
    </row>
    <row r="235">
      <c r="E235" s="42"/>
    </row>
    <row r="236">
      <c r="E236" s="42"/>
    </row>
    <row r="237">
      <c r="E237" s="42"/>
    </row>
    <row r="238">
      <c r="E238" s="42"/>
    </row>
    <row r="239">
      <c r="E239" s="42"/>
    </row>
    <row r="240">
      <c r="E240" s="42"/>
    </row>
    <row r="241">
      <c r="E241" s="42"/>
    </row>
    <row r="242">
      <c r="E242" s="42"/>
    </row>
    <row r="243">
      <c r="E243" s="42"/>
    </row>
    <row r="244">
      <c r="E244" s="42"/>
    </row>
    <row r="245">
      <c r="E245" s="42"/>
    </row>
    <row r="246">
      <c r="E246" s="42"/>
    </row>
    <row r="247">
      <c r="E247" s="42"/>
    </row>
    <row r="248">
      <c r="E248" s="42"/>
    </row>
    <row r="249">
      <c r="E249" s="42"/>
    </row>
    <row r="250">
      <c r="E250" s="42"/>
    </row>
    <row r="251">
      <c r="E251" s="42"/>
    </row>
    <row r="252">
      <c r="E252" s="42"/>
    </row>
    <row r="253">
      <c r="E253" s="42"/>
    </row>
    <row r="254">
      <c r="E254" s="42"/>
    </row>
    <row r="255">
      <c r="E255" s="42"/>
    </row>
    <row r="256">
      <c r="E256" s="42"/>
    </row>
    <row r="257">
      <c r="E257" s="42"/>
    </row>
    <row r="258">
      <c r="E258" s="42"/>
    </row>
    <row r="259">
      <c r="E259" s="42"/>
    </row>
    <row r="260">
      <c r="E260" s="42"/>
    </row>
    <row r="261">
      <c r="E261" s="42"/>
    </row>
    <row r="262">
      <c r="E262" s="42"/>
    </row>
    <row r="263">
      <c r="E263" s="42"/>
    </row>
    <row r="264">
      <c r="E264" s="42"/>
    </row>
    <row r="265">
      <c r="E265" s="42"/>
    </row>
    <row r="266">
      <c r="E266" s="42"/>
    </row>
    <row r="267">
      <c r="E267" s="42"/>
    </row>
    <row r="268">
      <c r="E268" s="42"/>
    </row>
    <row r="269">
      <c r="E269" s="42"/>
    </row>
    <row r="270">
      <c r="E270" s="42"/>
    </row>
    <row r="271">
      <c r="E271" s="42"/>
    </row>
    <row r="272">
      <c r="E272" s="42"/>
    </row>
    <row r="273">
      <c r="E273" s="42"/>
    </row>
    <row r="274">
      <c r="E274" s="42"/>
    </row>
    <row r="275">
      <c r="E275" s="42"/>
    </row>
    <row r="276">
      <c r="E276" s="42"/>
    </row>
    <row r="277">
      <c r="E277" s="42"/>
    </row>
    <row r="278">
      <c r="E278" s="42"/>
    </row>
    <row r="279">
      <c r="E279" s="42"/>
    </row>
    <row r="280">
      <c r="E280" s="42"/>
    </row>
    <row r="281">
      <c r="E281" s="42"/>
    </row>
    <row r="282">
      <c r="E282" s="42"/>
    </row>
    <row r="283">
      <c r="E283" s="42"/>
    </row>
    <row r="284">
      <c r="E284" s="42"/>
    </row>
    <row r="285">
      <c r="E285" s="42"/>
    </row>
    <row r="286">
      <c r="E286" s="42"/>
    </row>
    <row r="287">
      <c r="E287" s="42"/>
    </row>
    <row r="288">
      <c r="E288" s="42"/>
    </row>
    <row r="289">
      <c r="E289" s="42"/>
    </row>
    <row r="290">
      <c r="E290" s="42"/>
    </row>
    <row r="291">
      <c r="E291" s="42"/>
    </row>
    <row r="292">
      <c r="E292" s="42"/>
    </row>
    <row r="293">
      <c r="E293" s="42"/>
    </row>
    <row r="294">
      <c r="E294" s="42"/>
    </row>
    <row r="295">
      <c r="E295" s="42"/>
    </row>
    <row r="296">
      <c r="E296" s="42"/>
    </row>
    <row r="297">
      <c r="E297" s="42"/>
    </row>
    <row r="298">
      <c r="E298" s="42"/>
    </row>
    <row r="299">
      <c r="E299" s="42"/>
    </row>
    <row r="300">
      <c r="E300" s="42"/>
    </row>
    <row r="301">
      <c r="E301" s="42"/>
    </row>
    <row r="302">
      <c r="E302" s="42"/>
    </row>
    <row r="303">
      <c r="E303" s="42"/>
    </row>
    <row r="304">
      <c r="E304" s="42"/>
    </row>
    <row r="305">
      <c r="E305" s="42"/>
    </row>
    <row r="306">
      <c r="E306" s="42"/>
    </row>
    <row r="307">
      <c r="E307" s="42"/>
    </row>
    <row r="308">
      <c r="E308" s="42"/>
    </row>
    <row r="309">
      <c r="E309" s="42"/>
    </row>
    <row r="310">
      <c r="E310" s="42"/>
    </row>
    <row r="311">
      <c r="E311" s="42"/>
    </row>
    <row r="312">
      <c r="E312" s="42"/>
    </row>
    <row r="313">
      <c r="E313" s="42"/>
    </row>
    <row r="314">
      <c r="E314" s="42"/>
    </row>
    <row r="315">
      <c r="E315" s="42"/>
    </row>
    <row r="316">
      <c r="E316" s="42"/>
    </row>
    <row r="317">
      <c r="E317" s="42"/>
    </row>
    <row r="318">
      <c r="E318" s="42"/>
    </row>
    <row r="319">
      <c r="E319" s="42"/>
    </row>
    <row r="320">
      <c r="E320" s="42"/>
    </row>
    <row r="321">
      <c r="E321" s="42"/>
    </row>
    <row r="322">
      <c r="E322" s="42"/>
    </row>
    <row r="323">
      <c r="E323" s="42"/>
    </row>
    <row r="324">
      <c r="E324" s="42"/>
    </row>
    <row r="325">
      <c r="E325" s="42"/>
    </row>
    <row r="326">
      <c r="E326" s="42"/>
    </row>
    <row r="327">
      <c r="E327" s="42"/>
    </row>
    <row r="328">
      <c r="E328" s="42"/>
    </row>
    <row r="329">
      <c r="E329" s="42"/>
    </row>
    <row r="330">
      <c r="E330" s="42"/>
    </row>
    <row r="331">
      <c r="E331" s="42"/>
    </row>
    <row r="332">
      <c r="E332" s="42"/>
    </row>
    <row r="333">
      <c r="E333" s="42"/>
    </row>
    <row r="334">
      <c r="E334" s="42"/>
    </row>
    <row r="335">
      <c r="E335" s="42"/>
    </row>
    <row r="336">
      <c r="E336" s="42"/>
    </row>
    <row r="337">
      <c r="E337" s="42"/>
    </row>
    <row r="338">
      <c r="E338" s="42"/>
    </row>
    <row r="339">
      <c r="E339" s="42"/>
    </row>
    <row r="340">
      <c r="E340" s="42"/>
    </row>
    <row r="341">
      <c r="E341" s="42"/>
    </row>
    <row r="342">
      <c r="E342" s="42"/>
    </row>
    <row r="343">
      <c r="E343" s="42"/>
    </row>
    <row r="344">
      <c r="E344" s="42"/>
    </row>
    <row r="345">
      <c r="E345" s="42"/>
    </row>
    <row r="346">
      <c r="E346" s="42"/>
    </row>
    <row r="347">
      <c r="E347" s="42"/>
    </row>
    <row r="348">
      <c r="E348" s="42"/>
    </row>
    <row r="349">
      <c r="E349" s="42"/>
    </row>
    <row r="350">
      <c r="E350" s="42"/>
    </row>
    <row r="351">
      <c r="E351" s="42"/>
    </row>
    <row r="352">
      <c r="E352" s="42"/>
    </row>
    <row r="353">
      <c r="E353" s="42"/>
    </row>
    <row r="354">
      <c r="E354" s="42"/>
    </row>
    <row r="355">
      <c r="E355" s="42"/>
    </row>
    <row r="356">
      <c r="E356" s="42"/>
    </row>
    <row r="357">
      <c r="E357" s="42"/>
    </row>
    <row r="358">
      <c r="E358" s="42"/>
    </row>
    <row r="359">
      <c r="E359" s="42"/>
    </row>
    <row r="360">
      <c r="E360" s="42"/>
    </row>
    <row r="361">
      <c r="E361" s="42"/>
    </row>
    <row r="362">
      <c r="E362" s="42"/>
    </row>
    <row r="363">
      <c r="E363" s="42"/>
    </row>
    <row r="364">
      <c r="E364" s="42"/>
    </row>
    <row r="365">
      <c r="E365" s="42"/>
    </row>
    <row r="366">
      <c r="E366" s="42"/>
    </row>
    <row r="367">
      <c r="E367" s="42"/>
    </row>
    <row r="368">
      <c r="E368" s="42"/>
    </row>
    <row r="369">
      <c r="E369" s="42"/>
    </row>
    <row r="370">
      <c r="E370" s="42"/>
    </row>
    <row r="371">
      <c r="E371" s="42"/>
    </row>
    <row r="372">
      <c r="E372" s="42"/>
    </row>
    <row r="373">
      <c r="E373" s="42"/>
    </row>
    <row r="374">
      <c r="E374" s="42"/>
    </row>
    <row r="375">
      <c r="E375" s="42"/>
    </row>
    <row r="376">
      <c r="E376" s="42"/>
    </row>
    <row r="377">
      <c r="E377" s="42"/>
    </row>
    <row r="378">
      <c r="E378" s="42"/>
    </row>
    <row r="379">
      <c r="E379" s="42"/>
    </row>
    <row r="380">
      <c r="E380" s="42"/>
    </row>
    <row r="381">
      <c r="E381" s="42"/>
    </row>
    <row r="382">
      <c r="E382" s="42"/>
    </row>
    <row r="383">
      <c r="E383" s="42"/>
    </row>
    <row r="384">
      <c r="E384" s="42"/>
    </row>
    <row r="385">
      <c r="E385" s="42"/>
    </row>
    <row r="386">
      <c r="E386" s="42"/>
    </row>
    <row r="387">
      <c r="E387" s="42"/>
    </row>
    <row r="388">
      <c r="E388" s="42"/>
    </row>
    <row r="389">
      <c r="E389" s="42"/>
    </row>
    <row r="390">
      <c r="E390" s="42"/>
    </row>
    <row r="391">
      <c r="E391" s="42"/>
    </row>
    <row r="392">
      <c r="E392" s="42"/>
    </row>
    <row r="393">
      <c r="E393" s="42"/>
    </row>
    <row r="394">
      <c r="E394" s="42"/>
    </row>
    <row r="395">
      <c r="E395" s="42"/>
    </row>
    <row r="396">
      <c r="E396" s="42"/>
    </row>
    <row r="397">
      <c r="E397" s="42"/>
    </row>
    <row r="398">
      <c r="E398" s="42"/>
    </row>
    <row r="399">
      <c r="E399" s="42"/>
    </row>
    <row r="400">
      <c r="E400" s="42"/>
    </row>
    <row r="401">
      <c r="E401" s="42"/>
    </row>
    <row r="402">
      <c r="E402" s="42"/>
    </row>
    <row r="403">
      <c r="E403" s="42"/>
    </row>
    <row r="404">
      <c r="E404" s="42"/>
    </row>
    <row r="405">
      <c r="E405" s="42"/>
    </row>
    <row r="406">
      <c r="E406" s="42"/>
    </row>
    <row r="407">
      <c r="E407" s="42"/>
    </row>
    <row r="408">
      <c r="E408" s="42"/>
    </row>
    <row r="409">
      <c r="E409" s="42"/>
    </row>
    <row r="410">
      <c r="E410" s="42"/>
    </row>
    <row r="411">
      <c r="E411" s="42"/>
    </row>
    <row r="412">
      <c r="E412" s="42"/>
    </row>
    <row r="413">
      <c r="E413" s="42"/>
    </row>
    <row r="414">
      <c r="E414" s="42"/>
    </row>
    <row r="415">
      <c r="E415" s="42"/>
    </row>
    <row r="416">
      <c r="E416" s="42"/>
    </row>
    <row r="417">
      <c r="E417" s="42"/>
    </row>
    <row r="418">
      <c r="E418" s="42"/>
    </row>
    <row r="419">
      <c r="E419" s="42"/>
    </row>
    <row r="420">
      <c r="E420" s="42"/>
    </row>
    <row r="421">
      <c r="E421" s="42"/>
    </row>
    <row r="422">
      <c r="E422" s="42"/>
    </row>
    <row r="423">
      <c r="E423" s="42"/>
    </row>
    <row r="424">
      <c r="E424" s="42"/>
    </row>
    <row r="425">
      <c r="E425" s="42"/>
    </row>
    <row r="426">
      <c r="E426" s="42"/>
    </row>
    <row r="427">
      <c r="E427" s="42"/>
    </row>
    <row r="428">
      <c r="E428" s="42"/>
    </row>
    <row r="429">
      <c r="E429" s="42"/>
    </row>
    <row r="430">
      <c r="E430" s="42"/>
    </row>
    <row r="431">
      <c r="E431" s="42"/>
    </row>
    <row r="432">
      <c r="E432" s="42"/>
    </row>
    <row r="433">
      <c r="E433" s="42"/>
    </row>
    <row r="434">
      <c r="E434" s="42"/>
    </row>
    <row r="435">
      <c r="E435" s="42"/>
    </row>
    <row r="436">
      <c r="E436" s="42"/>
    </row>
    <row r="437">
      <c r="E437" s="42"/>
    </row>
    <row r="438">
      <c r="E438" s="42"/>
    </row>
    <row r="439">
      <c r="E439" s="42"/>
    </row>
    <row r="440">
      <c r="E440" s="42"/>
    </row>
    <row r="441">
      <c r="E441" s="42"/>
    </row>
    <row r="442">
      <c r="E442" s="42"/>
    </row>
    <row r="443">
      <c r="E443" s="42"/>
    </row>
    <row r="444">
      <c r="E444" s="42"/>
    </row>
    <row r="445">
      <c r="E445" s="42"/>
    </row>
    <row r="446">
      <c r="E446" s="42"/>
    </row>
    <row r="447">
      <c r="E447" s="42"/>
    </row>
    <row r="448">
      <c r="E448" s="42"/>
    </row>
    <row r="449">
      <c r="E449" s="42"/>
    </row>
    <row r="450">
      <c r="E450" s="42"/>
    </row>
    <row r="451">
      <c r="E451" s="42"/>
    </row>
    <row r="452">
      <c r="E452" s="42"/>
    </row>
    <row r="453">
      <c r="E453" s="42"/>
    </row>
    <row r="454">
      <c r="E454" s="42"/>
    </row>
    <row r="455">
      <c r="E455" s="42"/>
    </row>
    <row r="456">
      <c r="E456" s="42"/>
    </row>
    <row r="457">
      <c r="E457" s="42"/>
    </row>
    <row r="458">
      <c r="E458" s="42"/>
    </row>
    <row r="459">
      <c r="E459" s="42"/>
    </row>
    <row r="460">
      <c r="E460" s="42"/>
    </row>
    <row r="461">
      <c r="E461" s="42"/>
    </row>
    <row r="462">
      <c r="E462" s="42"/>
    </row>
    <row r="463">
      <c r="E463" s="42"/>
    </row>
    <row r="464">
      <c r="E464" s="42"/>
    </row>
    <row r="465">
      <c r="E465" s="42"/>
    </row>
    <row r="466">
      <c r="E466" s="42"/>
    </row>
    <row r="467">
      <c r="E467" s="42"/>
    </row>
    <row r="468">
      <c r="E468" s="42"/>
    </row>
    <row r="469">
      <c r="E469" s="42"/>
    </row>
    <row r="470">
      <c r="E470" s="42"/>
    </row>
    <row r="471">
      <c r="E471" s="42"/>
    </row>
    <row r="472">
      <c r="E472" s="42"/>
    </row>
    <row r="473">
      <c r="E473" s="42"/>
    </row>
    <row r="474">
      <c r="E474" s="42"/>
    </row>
    <row r="475">
      <c r="E475" s="42"/>
    </row>
    <row r="476">
      <c r="E476" s="42"/>
    </row>
    <row r="477">
      <c r="E477" s="42"/>
    </row>
    <row r="478">
      <c r="E478" s="42"/>
    </row>
    <row r="479">
      <c r="E479" s="42"/>
    </row>
    <row r="480">
      <c r="E480" s="42"/>
    </row>
    <row r="481">
      <c r="E481" s="42"/>
    </row>
    <row r="482">
      <c r="E482" s="42"/>
    </row>
    <row r="483">
      <c r="E483" s="42"/>
    </row>
    <row r="484">
      <c r="E484" s="42"/>
    </row>
    <row r="485">
      <c r="E485" s="42"/>
    </row>
    <row r="486">
      <c r="E486" s="42"/>
    </row>
    <row r="487">
      <c r="E487" s="42"/>
    </row>
    <row r="488">
      <c r="E488" s="42"/>
    </row>
    <row r="489">
      <c r="E489" s="42"/>
    </row>
    <row r="490">
      <c r="E490" s="42"/>
    </row>
    <row r="491">
      <c r="E491" s="42"/>
    </row>
    <row r="492">
      <c r="E492" s="42"/>
    </row>
    <row r="493">
      <c r="E493" s="42"/>
    </row>
    <row r="494">
      <c r="E494" s="42"/>
    </row>
    <row r="495">
      <c r="E495" s="42"/>
    </row>
    <row r="496">
      <c r="E496" s="42"/>
    </row>
    <row r="497">
      <c r="E497" s="42"/>
    </row>
    <row r="498">
      <c r="E498" s="42"/>
    </row>
    <row r="499">
      <c r="E499" s="42"/>
    </row>
    <row r="500">
      <c r="E500" s="42"/>
    </row>
    <row r="501">
      <c r="E501" s="42"/>
    </row>
    <row r="502">
      <c r="E502" s="42"/>
    </row>
    <row r="503">
      <c r="E503" s="42"/>
    </row>
    <row r="504">
      <c r="E504" s="42"/>
    </row>
    <row r="505">
      <c r="E505" s="42"/>
    </row>
    <row r="506">
      <c r="E506" s="42"/>
    </row>
    <row r="507">
      <c r="E507" s="42"/>
    </row>
    <row r="508">
      <c r="E508" s="42"/>
    </row>
    <row r="509">
      <c r="E509" s="42"/>
    </row>
    <row r="510">
      <c r="E510" s="42"/>
    </row>
    <row r="511">
      <c r="E511" s="42"/>
    </row>
    <row r="512">
      <c r="E512" s="42"/>
    </row>
    <row r="513">
      <c r="E513" s="42"/>
    </row>
    <row r="514">
      <c r="E514" s="42"/>
    </row>
    <row r="515">
      <c r="E515" s="42"/>
    </row>
    <row r="516">
      <c r="E516" s="42"/>
    </row>
    <row r="517">
      <c r="E517" s="42"/>
    </row>
    <row r="518">
      <c r="E518" s="42"/>
    </row>
    <row r="519">
      <c r="E519" s="42"/>
    </row>
    <row r="520">
      <c r="E520" s="42"/>
    </row>
    <row r="521">
      <c r="E521" s="42"/>
    </row>
    <row r="522">
      <c r="E522" s="42"/>
    </row>
    <row r="523">
      <c r="E523" s="42"/>
    </row>
    <row r="524">
      <c r="E524" s="42"/>
    </row>
    <row r="525">
      <c r="E525" s="42"/>
    </row>
    <row r="526">
      <c r="E526" s="42"/>
    </row>
    <row r="527">
      <c r="E527" s="42"/>
    </row>
    <row r="528">
      <c r="E528" s="42"/>
    </row>
    <row r="529">
      <c r="E529" s="42"/>
    </row>
    <row r="530">
      <c r="E530" s="42"/>
    </row>
    <row r="531">
      <c r="E531" s="42"/>
    </row>
    <row r="532">
      <c r="E532" s="42"/>
    </row>
    <row r="533">
      <c r="E533" s="42"/>
    </row>
    <row r="534">
      <c r="E534" s="42"/>
    </row>
    <row r="535">
      <c r="E535" s="42"/>
    </row>
    <row r="536">
      <c r="E536" s="42"/>
    </row>
    <row r="537">
      <c r="E537" s="42"/>
    </row>
    <row r="538">
      <c r="E538" s="42"/>
    </row>
    <row r="539">
      <c r="E539" s="42"/>
    </row>
    <row r="540">
      <c r="E540" s="42"/>
    </row>
    <row r="541">
      <c r="E541" s="42"/>
    </row>
    <row r="542">
      <c r="E542" s="42"/>
    </row>
    <row r="543">
      <c r="E543" s="42"/>
    </row>
    <row r="544">
      <c r="E544" s="42"/>
    </row>
    <row r="545">
      <c r="E545" s="42"/>
    </row>
    <row r="546">
      <c r="E546" s="42"/>
    </row>
    <row r="547">
      <c r="E547" s="42"/>
    </row>
    <row r="548">
      <c r="E548" s="42"/>
    </row>
    <row r="549">
      <c r="E549" s="42"/>
    </row>
    <row r="550">
      <c r="E550" s="42"/>
    </row>
    <row r="551">
      <c r="E551" s="42"/>
    </row>
    <row r="552">
      <c r="E552" s="42"/>
    </row>
    <row r="553">
      <c r="E553" s="42"/>
    </row>
    <row r="554">
      <c r="E554" s="42"/>
    </row>
    <row r="555">
      <c r="E555" s="42"/>
    </row>
    <row r="556">
      <c r="E556" s="42"/>
    </row>
    <row r="557">
      <c r="E557" s="42"/>
    </row>
    <row r="558">
      <c r="E558" s="42"/>
    </row>
    <row r="559">
      <c r="E559" s="42"/>
    </row>
    <row r="560">
      <c r="E560" s="42"/>
    </row>
    <row r="561">
      <c r="E561" s="42"/>
    </row>
    <row r="562">
      <c r="E562" s="42"/>
    </row>
    <row r="563">
      <c r="E563" s="42"/>
    </row>
    <row r="564">
      <c r="E564" s="42"/>
    </row>
    <row r="565">
      <c r="E565" s="42"/>
    </row>
    <row r="566">
      <c r="E566" s="42"/>
    </row>
    <row r="567">
      <c r="E567" s="42"/>
    </row>
    <row r="568">
      <c r="E568" s="42"/>
    </row>
    <row r="569">
      <c r="E569" s="42"/>
    </row>
    <row r="570">
      <c r="E570" s="42"/>
    </row>
    <row r="571">
      <c r="E571" s="42"/>
    </row>
    <row r="572">
      <c r="E572" s="42"/>
    </row>
    <row r="573">
      <c r="E573" s="42"/>
    </row>
    <row r="574">
      <c r="E574" s="42"/>
    </row>
    <row r="575">
      <c r="E575" s="42"/>
    </row>
    <row r="576">
      <c r="E576" s="42"/>
    </row>
    <row r="577">
      <c r="E577" s="42"/>
    </row>
    <row r="578">
      <c r="E578" s="42"/>
    </row>
    <row r="579">
      <c r="E579" s="42"/>
    </row>
    <row r="580">
      <c r="E580" s="42"/>
    </row>
    <row r="581">
      <c r="E581" s="42"/>
    </row>
    <row r="582">
      <c r="E582" s="42"/>
    </row>
    <row r="583">
      <c r="E583" s="42"/>
    </row>
    <row r="584">
      <c r="E584" s="42"/>
    </row>
    <row r="585">
      <c r="E585" s="42"/>
    </row>
    <row r="586">
      <c r="E586" s="42"/>
    </row>
    <row r="587">
      <c r="E587" s="42"/>
    </row>
    <row r="588">
      <c r="E588" s="42"/>
    </row>
    <row r="589">
      <c r="E589" s="42"/>
    </row>
    <row r="590">
      <c r="E590" s="42"/>
    </row>
    <row r="591">
      <c r="E591" s="42"/>
    </row>
    <row r="592">
      <c r="E592" s="42"/>
    </row>
    <row r="593">
      <c r="E593" s="42"/>
    </row>
    <row r="594">
      <c r="E594" s="42"/>
    </row>
    <row r="595">
      <c r="E595" s="42"/>
    </row>
    <row r="596">
      <c r="E596" s="42"/>
    </row>
    <row r="597">
      <c r="E597" s="42"/>
    </row>
    <row r="598">
      <c r="E598" s="42"/>
    </row>
    <row r="599">
      <c r="E599" s="42"/>
    </row>
    <row r="600">
      <c r="E600" s="42"/>
    </row>
    <row r="601">
      <c r="E601" s="42"/>
    </row>
    <row r="602">
      <c r="E602" s="42"/>
    </row>
    <row r="603">
      <c r="E603" s="42"/>
    </row>
    <row r="604">
      <c r="E604" s="42"/>
    </row>
    <row r="605">
      <c r="E605" s="42"/>
    </row>
    <row r="606">
      <c r="E606" s="42"/>
    </row>
    <row r="607">
      <c r="E607" s="42"/>
    </row>
    <row r="608">
      <c r="E608" s="42"/>
    </row>
    <row r="609">
      <c r="E609" s="42"/>
    </row>
    <row r="610">
      <c r="E610" s="42"/>
    </row>
    <row r="611">
      <c r="E611" s="42"/>
    </row>
    <row r="612">
      <c r="E612" s="42"/>
    </row>
    <row r="613">
      <c r="E613" s="42"/>
    </row>
    <row r="614">
      <c r="E614" s="42"/>
    </row>
    <row r="615">
      <c r="E615" s="42"/>
    </row>
    <row r="616">
      <c r="E616" s="42"/>
    </row>
    <row r="617">
      <c r="E617" s="42"/>
    </row>
    <row r="618">
      <c r="E618" s="42"/>
    </row>
    <row r="619">
      <c r="E619" s="42"/>
    </row>
    <row r="620">
      <c r="E620" s="42"/>
    </row>
    <row r="621">
      <c r="E621" s="42"/>
    </row>
    <row r="622">
      <c r="E622" s="42"/>
    </row>
    <row r="623">
      <c r="E623" s="42"/>
    </row>
    <row r="624">
      <c r="E624" s="42"/>
    </row>
    <row r="625">
      <c r="E625" s="42"/>
    </row>
    <row r="626">
      <c r="E626" s="42"/>
    </row>
    <row r="627">
      <c r="E627" s="42"/>
    </row>
    <row r="628">
      <c r="E628" s="42"/>
    </row>
    <row r="629">
      <c r="E629" s="42"/>
    </row>
    <row r="630">
      <c r="E630" s="42"/>
    </row>
    <row r="631">
      <c r="E631" s="42"/>
    </row>
    <row r="632">
      <c r="E632" s="42"/>
    </row>
    <row r="633">
      <c r="E633" s="42"/>
    </row>
    <row r="634">
      <c r="E634" s="42"/>
    </row>
    <row r="635">
      <c r="E635" s="42"/>
    </row>
    <row r="636">
      <c r="E636" s="42"/>
    </row>
    <row r="637">
      <c r="E637" s="42"/>
    </row>
    <row r="638">
      <c r="E638" s="42"/>
    </row>
    <row r="639">
      <c r="E639" s="42"/>
    </row>
    <row r="640">
      <c r="E640" s="42"/>
    </row>
    <row r="641">
      <c r="E641" s="42"/>
    </row>
    <row r="642">
      <c r="E642" s="42"/>
    </row>
    <row r="643">
      <c r="E643" s="42"/>
    </row>
    <row r="644">
      <c r="E644" s="42"/>
    </row>
    <row r="645">
      <c r="E645" s="42"/>
    </row>
    <row r="646">
      <c r="E646" s="42"/>
    </row>
    <row r="647">
      <c r="E647" s="42"/>
    </row>
    <row r="648">
      <c r="E648" s="42"/>
    </row>
    <row r="649">
      <c r="E649" s="42"/>
    </row>
    <row r="650">
      <c r="E650" s="42"/>
    </row>
    <row r="651">
      <c r="E651" s="42"/>
    </row>
    <row r="652">
      <c r="E652" s="42"/>
    </row>
    <row r="653">
      <c r="E653" s="42"/>
    </row>
    <row r="654">
      <c r="E654" s="42"/>
    </row>
    <row r="655">
      <c r="E655" s="42"/>
    </row>
    <row r="656">
      <c r="E656" s="42"/>
    </row>
    <row r="657">
      <c r="E657" s="42"/>
    </row>
    <row r="658">
      <c r="E658" s="42"/>
    </row>
    <row r="659">
      <c r="E659" s="42"/>
    </row>
    <row r="660">
      <c r="E660" s="42"/>
    </row>
    <row r="661">
      <c r="E661" s="42"/>
    </row>
    <row r="662">
      <c r="E662" s="42"/>
    </row>
    <row r="663">
      <c r="E663" s="42"/>
    </row>
    <row r="664">
      <c r="E664" s="42"/>
    </row>
    <row r="665">
      <c r="E665" s="42"/>
    </row>
    <row r="666">
      <c r="E666" s="42"/>
    </row>
    <row r="667">
      <c r="E667" s="42"/>
    </row>
    <row r="668">
      <c r="E668" s="42"/>
    </row>
    <row r="669">
      <c r="E669" s="42"/>
    </row>
    <row r="670">
      <c r="E670" s="42"/>
    </row>
    <row r="671">
      <c r="E671" s="42"/>
    </row>
    <row r="672">
      <c r="E672" s="42"/>
    </row>
    <row r="673">
      <c r="E673" s="42"/>
    </row>
    <row r="674">
      <c r="E674" s="42"/>
    </row>
    <row r="675">
      <c r="E675" s="42"/>
    </row>
    <row r="676">
      <c r="E676" s="42"/>
    </row>
    <row r="677">
      <c r="E677" s="42"/>
    </row>
    <row r="678">
      <c r="E678" s="42"/>
    </row>
    <row r="679">
      <c r="E679" s="42"/>
    </row>
    <row r="680">
      <c r="E680" s="42"/>
    </row>
    <row r="681">
      <c r="E681" s="42"/>
    </row>
    <row r="682">
      <c r="E682" s="42"/>
    </row>
    <row r="683">
      <c r="E683" s="42"/>
    </row>
    <row r="684">
      <c r="E684" s="42"/>
    </row>
    <row r="685">
      <c r="E685" s="42"/>
    </row>
    <row r="686">
      <c r="E686" s="42"/>
    </row>
    <row r="687">
      <c r="E687" s="42"/>
    </row>
    <row r="688">
      <c r="E688" s="42"/>
    </row>
    <row r="689">
      <c r="E689" s="42"/>
    </row>
    <row r="690">
      <c r="E690" s="42"/>
    </row>
    <row r="691">
      <c r="E691" s="42"/>
    </row>
    <row r="692">
      <c r="E692" s="42"/>
    </row>
    <row r="693">
      <c r="E693" s="42"/>
    </row>
    <row r="694">
      <c r="E694" s="42"/>
    </row>
    <row r="695">
      <c r="E695" s="42"/>
    </row>
    <row r="696">
      <c r="E696" s="42"/>
    </row>
    <row r="697">
      <c r="E697" s="42"/>
    </row>
    <row r="698">
      <c r="E698" s="42"/>
    </row>
    <row r="699">
      <c r="E699" s="42"/>
    </row>
    <row r="700">
      <c r="E700" s="42"/>
    </row>
    <row r="701">
      <c r="E701" s="42"/>
    </row>
    <row r="702">
      <c r="E702" s="42"/>
    </row>
    <row r="703">
      <c r="E703" s="42"/>
    </row>
    <row r="704">
      <c r="E704" s="42"/>
    </row>
    <row r="705">
      <c r="E705" s="42"/>
    </row>
    <row r="706">
      <c r="E706" s="42"/>
    </row>
    <row r="707">
      <c r="E707" s="42"/>
    </row>
    <row r="708">
      <c r="E708" s="42"/>
    </row>
    <row r="709">
      <c r="E709" s="42"/>
    </row>
    <row r="710">
      <c r="E710" s="42"/>
    </row>
    <row r="711">
      <c r="E711" s="42"/>
    </row>
    <row r="712">
      <c r="E712" s="42"/>
    </row>
    <row r="713">
      <c r="E713" s="42"/>
    </row>
    <row r="714">
      <c r="E714" s="42"/>
    </row>
    <row r="715">
      <c r="E715" s="42"/>
    </row>
    <row r="716">
      <c r="E716" s="42"/>
    </row>
    <row r="717">
      <c r="E717" s="42"/>
    </row>
    <row r="718">
      <c r="E718" s="42"/>
    </row>
    <row r="719">
      <c r="E719" s="42"/>
    </row>
    <row r="720">
      <c r="E720" s="42"/>
    </row>
    <row r="721">
      <c r="E721" s="42"/>
    </row>
    <row r="722">
      <c r="E722" s="42"/>
    </row>
    <row r="723">
      <c r="E723" s="42"/>
    </row>
    <row r="724">
      <c r="E724" s="42"/>
    </row>
    <row r="725">
      <c r="E725" s="42"/>
    </row>
    <row r="726">
      <c r="E726" s="42"/>
    </row>
    <row r="727">
      <c r="E727" s="42"/>
    </row>
    <row r="728">
      <c r="E728" s="42"/>
    </row>
    <row r="729">
      <c r="E729" s="42"/>
    </row>
    <row r="730">
      <c r="E730" s="42"/>
    </row>
    <row r="731">
      <c r="E731" s="42"/>
    </row>
    <row r="732">
      <c r="E732" s="42"/>
    </row>
    <row r="733">
      <c r="E733" s="42"/>
    </row>
    <row r="734">
      <c r="E734" s="42"/>
    </row>
    <row r="735">
      <c r="E735" s="42"/>
    </row>
    <row r="736">
      <c r="E736" s="42"/>
    </row>
    <row r="737">
      <c r="E737" s="42"/>
    </row>
    <row r="738">
      <c r="E738" s="42"/>
    </row>
    <row r="739">
      <c r="E739" s="42"/>
    </row>
    <row r="740">
      <c r="E740" s="42"/>
    </row>
    <row r="741">
      <c r="E741" s="42"/>
    </row>
    <row r="742">
      <c r="E742" s="42"/>
    </row>
    <row r="743">
      <c r="E743" s="42"/>
    </row>
    <row r="744">
      <c r="E744" s="42"/>
    </row>
    <row r="745">
      <c r="E745" s="42"/>
    </row>
    <row r="746">
      <c r="E746" s="42"/>
    </row>
    <row r="747">
      <c r="E747" s="42"/>
    </row>
    <row r="748">
      <c r="E748" s="42"/>
    </row>
    <row r="749">
      <c r="E749" s="42"/>
    </row>
    <row r="750">
      <c r="E750" s="42"/>
    </row>
    <row r="751">
      <c r="E751" s="42"/>
    </row>
    <row r="752">
      <c r="E752" s="42"/>
    </row>
    <row r="753">
      <c r="E753" s="42"/>
    </row>
    <row r="754">
      <c r="E754" s="42"/>
    </row>
    <row r="755">
      <c r="E755" s="42"/>
    </row>
    <row r="756">
      <c r="E756" s="42"/>
    </row>
    <row r="757">
      <c r="E757" s="42"/>
    </row>
    <row r="758">
      <c r="E758" s="42"/>
    </row>
    <row r="759">
      <c r="E759" s="42"/>
    </row>
    <row r="760">
      <c r="E760" s="42"/>
    </row>
    <row r="761">
      <c r="E761" s="42"/>
    </row>
    <row r="762">
      <c r="E762" s="42"/>
    </row>
    <row r="763">
      <c r="E763" s="42"/>
    </row>
    <row r="764">
      <c r="E764" s="42"/>
    </row>
    <row r="765">
      <c r="E765" s="42"/>
    </row>
    <row r="766">
      <c r="E766" s="42"/>
    </row>
    <row r="767">
      <c r="E767" s="42"/>
    </row>
    <row r="768">
      <c r="E768" s="42"/>
    </row>
    <row r="769">
      <c r="E769" s="42"/>
    </row>
    <row r="770">
      <c r="E770" s="42"/>
    </row>
    <row r="771">
      <c r="E771" s="42"/>
    </row>
    <row r="772">
      <c r="E772" s="42"/>
    </row>
    <row r="773">
      <c r="E773" s="42"/>
    </row>
    <row r="774">
      <c r="E774" s="42"/>
    </row>
    <row r="775">
      <c r="E775" s="42"/>
    </row>
    <row r="776">
      <c r="E776" s="42"/>
    </row>
    <row r="777">
      <c r="E777" s="42"/>
    </row>
    <row r="778">
      <c r="E778" s="42"/>
    </row>
    <row r="779">
      <c r="E779" s="42"/>
    </row>
    <row r="780">
      <c r="E780" s="42"/>
    </row>
    <row r="781">
      <c r="E781" s="42"/>
    </row>
    <row r="782">
      <c r="E782" s="42"/>
    </row>
    <row r="783">
      <c r="E783" s="42"/>
    </row>
    <row r="784">
      <c r="E784" s="42"/>
    </row>
    <row r="785">
      <c r="E785" s="42"/>
    </row>
    <row r="786">
      <c r="E786" s="42"/>
    </row>
    <row r="787">
      <c r="E787" s="42"/>
    </row>
    <row r="788">
      <c r="E788" s="42"/>
    </row>
    <row r="789">
      <c r="E789" s="42"/>
    </row>
    <row r="790">
      <c r="E790" s="42"/>
    </row>
    <row r="791">
      <c r="E791" s="42"/>
    </row>
    <row r="792">
      <c r="E792" s="42"/>
    </row>
    <row r="793">
      <c r="E793" s="42"/>
    </row>
    <row r="794">
      <c r="E794" s="42"/>
    </row>
    <row r="795">
      <c r="E795" s="42"/>
    </row>
    <row r="796">
      <c r="E796" s="42"/>
    </row>
    <row r="797">
      <c r="E797" s="42"/>
    </row>
    <row r="798">
      <c r="E798" s="42"/>
    </row>
    <row r="799">
      <c r="E799" s="42"/>
    </row>
    <row r="800">
      <c r="E800" s="42"/>
    </row>
    <row r="801">
      <c r="E801" s="42"/>
    </row>
    <row r="802">
      <c r="E802" s="42"/>
    </row>
    <row r="803">
      <c r="E803" s="42"/>
    </row>
    <row r="804">
      <c r="E804" s="42"/>
    </row>
    <row r="805">
      <c r="E805" s="42"/>
    </row>
    <row r="806">
      <c r="E806" s="42"/>
    </row>
    <row r="807">
      <c r="E807" s="42"/>
    </row>
    <row r="808">
      <c r="E808" s="42"/>
    </row>
    <row r="809">
      <c r="E809" s="42"/>
    </row>
    <row r="810">
      <c r="E810" s="42"/>
    </row>
    <row r="811">
      <c r="E811" s="42"/>
    </row>
    <row r="812">
      <c r="E812" s="42"/>
    </row>
    <row r="813">
      <c r="E813" s="42"/>
    </row>
    <row r="814">
      <c r="E814" s="42"/>
    </row>
    <row r="815">
      <c r="E815" s="42"/>
    </row>
    <row r="816">
      <c r="E816" s="42"/>
    </row>
    <row r="817">
      <c r="E817" s="42"/>
    </row>
    <row r="818">
      <c r="E818" s="42"/>
    </row>
    <row r="819">
      <c r="E819" s="42"/>
    </row>
    <row r="820">
      <c r="E820" s="42"/>
    </row>
    <row r="821">
      <c r="E821" s="42"/>
    </row>
    <row r="822">
      <c r="E822" s="42"/>
    </row>
    <row r="823">
      <c r="E823" s="42"/>
    </row>
    <row r="824">
      <c r="E824" s="42"/>
    </row>
    <row r="825">
      <c r="E825" s="42"/>
    </row>
    <row r="826">
      <c r="E826" s="42"/>
    </row>
    <row r="827">
      <c r="E827" s="42"/>
    </row>
    <row r="828">
      <c r="E828" s="42"/>
    </row>
    <row r="829">
      <c r="E829" s="42"/>
    </row>
    <row r="830">
      <c r="E830" s="42"/>
    </row>
    <row r="831">
      <c r="E831" s="42"/>
    </row>
    <row r="832">
      <c r="E832" s="42"/>
    </row>
    <row r="833">
      <c r="E833" s="42"/>
    </row>
    <row r="834">
      <c r="E834" s="42"/>
    </row>
    <row r="835">
      <c r="E835" s="42"/>
    </row>
    <row r="836">
      <c r="E836" s="42"/>
    </row>
    <row r="837">
      <c r="E837" s="42"/>
    </row>
    <row r="838">
      <c r="E838" s="42"/>
    </row>
    <row r="839">
      <c r="E839" s="42"/>
    </row>
    <row r="840">
      <c r="E840" s="42"/>
    </row>
    <row r="841">
      <c r="E841" s="42"/>
    </row>
    <row r="842">
      <c r="E842" s="42"/>
    </row>
    <row r="843">
      <c r="E843" s="42"/>
    </row>
    <row r="844">
      <c r="E844" s="42"/>
    </row>
    <row r="845">
      <c r="E845" s="42"/>
    </row>
    <row r="846">
      <c r="E846" s="42"/>
    </row>
    <row r="847">
      <c r="E847" s="42"/>
    </row>
    <row r="848">
      <c r="E848" s="42"/>
    </row>
    <row r="849">
      <c r="E849" s="42"/>
    </row>
    <row r="850">
      <c r="E850" s="42"/>
    </row>
    <row r="851">
      <c r="E851" s="42"/>
    </row>
    <row r="852">
      <c r="E852" s="42"/>
    </row>
    <row r="853">
      <c r="E853" s="42"/>
    </row>
    <row r="854">
      <c r="E854" s="42"/>
    </row>
    <row r="855">
      <c r="E855" s="42"/>
    </row>
    <row r="856">
      <c r="E856" s="42"/>
    </row>
    <row r="857">
      <c r="E857" s="42"/>
    </row>
    <row r="858">
      <c r="E858" s="42"/>
    </row>
    <row r="859">
      <c r="E859" s="42"/>
    </row>
    <row r="860">
      <c r="E860" s="42"/>
    </row>
    <row r="861">
      <c r="E861" s="42"/>
    </row>
    <row r="862">
      <c r="E862" s="42"/>
    </row>
    <row r="863">
      <c r="E863" s="42"/>
    </row>
    <row r="864">
      <c r="E864" s="42"/>
    </row>
    <row r="865">
      <c r="E865" s="42"/>
    </row>
    <row r="866">
      <c r="E866" s="42"/>
    </row>
    <row r="867">
      <c r="E867" s="42"/>
    </row>
    <row r="868">
      <c r="E868" s="42"/>
    </row>
    <row r="869">
      <c r="E869" s="42"/>
    </row>
    <row r="870">
      <c r="E870" s="42"/>
    </row>
    <row r="871">
      <c r="E871" s="42"/>
    </row>
    <row r="872">
      <c r="E872" s="42"/>
    </row>
    <row r="873">
      <c r="E873" s="42"/>
    </row>
    <row r="874">
      <c r="E874" s="42"/>
    </row>
    <row r="875">
      <c r="E875" s="42"/>
    </row>
    <row r="876">
      <c r="E876" s="42"/>
    </row>
    <row r="877">
      <c r="E877" s="42"/>
    </row>
    <row r="878">
      <c r="E878" s="42"/>
    </row>
    <row r="879">
      <c r="E879" s="42"/>
    </row>
    <row r="880">
      <c r="E880" s="42"/>
    </row>
    <row r="881">
      <c r="E881" s="42"/>
    </row>
    <row r="882">
      <c r="E882" s="42"/>
    </row>
    <row r="883">
      <c r="E883" s="42"/>
    </row>
    <row r="884">
      <c r="E884" s="42"/>
    </row>
    <row r="885">
      <c r="E885" s="42"/>
    </row>
    <row r="886">
      <c r="E886" s="42"/>
    </row>
    <row r="887">
      <c r="E887" s="42"/>
    </row>
    <row r="888">
      <c r="E888" s="42"/>
    </row>
    <row r="889">
      <c r="E889" s="42"/>
    </row>
    <row r="890">
      <c r="E890" s="42"/>
    </row>
    <row r="891">
      <c r="E891" s="42"/>
    </row>
    <row r="892">
      <c r="E892" s="42"/>
    </row>
    <row r="893">
      <c r="E893" s="42"/>
    </row>
    <row r="894">
      <c r="E894" s="42"/>
    </row>
    <row r="895">
      <c r="E895" s="42"/>
    </row>
    <row r="896">
      <c r="E896" s="42"/>
    </row>
    <row r="897">
      <c r="E897" s="42"/>
    </row>
    <row r="898">
      <c r="E898" s="42"/>
    </row>
    <row r="899">
      <c r="E899" s="42"/>
    </row>
    <row r="900">
      <c r="E900" s="42"/>
    </row>
    <row r="901">
      <c r="E901" s="42"/>
    </row>
    <row r="902">
      <c r="E902" s="42"/>
    </row>
    <row r="903">
      <c r="E903" s="42"/>
    </row>
    <row r="904">
      <c r="E904" s="42"/>
    </row>
    <row r="905">
      <c r="E905" s="42"/>
    </row>
    <row r="906">
      <c r="E906" s="42"/>
    </row>
    <row r="907">
      <c r="E907" s="42"/>
    </row>
    <row r="908">
      <c r="E908" s="42"/>
    </row>
    <row r="909">
      <c r="E909" s="42"/>
    </row>
    <row r="910">
      <c r="E910" s="42"/>
    </row>
    <row r="911">
      <c r="E911" s="42"/>
    </row>
    <row r="912">
      <c r="E912" s="42"/>
    </row>
    <row r="913">
      <c r="E913" s="42"/>
    </row>
    <row r="914">
      <c r="E914" s="42"/>
    </row>
    <row r="915">
      <c r="E915" s="42"/>
    </row>
    <row r="916">
      <c r="E916" s="42"/>
    </row>
    <row r="917">
      <c r="E917" s="42"/>
    </row>
    <row r="918">
      <c r="E918" s="42"/>
    </row>
    <row r="919">
      <c r="E919" s="42"/>
    </row>
    <row r="920">
      <c r="E920" s="42"/>
    </row>
    <row r="921">
      <c r="E921" s="42"/>
    </row>
    <row r="922">
      <c r="E922" s="42"/>
    </row>
    <row r="923">
      <c r="E923" s="42"/>
    </row>
    <row r="924">
      <c r="E924" s="42"/>
    </row>
    <row r="925">
      <c r="E925" s="42"/>
    </row>
    <row r="926">
      <c r="E926" s="42"/>
    </row>
    <row r="927">
      <c r="E927" s="42"/>
    </row>
    <row r="928">
      <c r="E928" s="42"/>
    </row>
    <row r="929">
      <c r="E929" s="42"/>
    </row>
    <row r="930">
      <c r="E930" s="42"/>
    </row>
    <row r="931">
      <c r="E931" s="42"/>
    </row>
    <row r="932">
      <c r="E932" s="42"/>
    </row>
    <row r="933">
      <c r="E933" s="42"/>
    </row>
    <row r="934">
      <c r="E934" s="42"/>
    </row>
    <row r="935">
      <c r="E935" s="42"/>
    </row>
    <row r="936">
      <c r="E936" s="42"/>
    </row>
    <row r="937">
      <c r="E937" s="42"/>
    </row>
    <row r="938">
      <c r="E938" s="42"/>
    </row>
    <row r="939">
      <c r="E939" s="42"/>
    </row>
    <row r="940">
      <c r="E940" s="42"/>
    </row>
    <row r="941">
      <c r="E941" s="42"/>
    </row>
    <row r="942">
      <c r="E942" s="42"/>
    </row>
    <row r="943">
      <c r="E943" s="42"/>
    </row>
    <row r="944">
      <c r="E944" s="42"/>
    </row>
    <row r="945">
      <c r="E945" s="42"/>
    </row>
    <row r="946">
      <c r="E946" s="42"/>
    </row>
    <row r="947">
      <c r="E947" s="42"/>
    </row>
    <row r="948">
      <c r="E948" s="42"/>
    </row>
    <row r="949">
      <c r="E949" s="42"/>
    </row>
    <row r="950">
      <c r="E950" s="42"/>
    </row>
    <row r="951">
      <c r="E951" s="42"/>
    </row>
    <row r="952">
      <c r="E952" s="42"/>
    </row>
    <row r="953">
      <c r="E953" s="42"/>
    </row>
    <row r="954">
      <c r="E954" s="42"/>
    </row>
    <row r="955">
      <c r="E955" s="42"/>
    </row>
    <row r="956">
      <c r="E956" s="42"/>
    </row>
    <row r="957">
      <c r="E957" s="42"/>
    </row>
    <row r="958">
      <c r="E958" s="42"/>
    </row>
    <row r="959">
      <c r="E959" s="42"/>
    </row>
    <row r="960">
      <c r="E960" s="42"/>
    </row>
    <row r="961">
      <c r="E961" s="42"/>
    </row>
    <row r="962">
      <c r="E962" s="42"/>
    </row>
    <row r="963">
      <c r="E963" s="42"/>
    </row>
    <row r="964">
      <c r="E964" s="42"/>
    </row>
    <row r="965">
      <c r="E965" s="42"/>
    </row>
    <row r="966">
      <c r="E966" s="42"/>
    </row>
    <row r="967">
      <c r="E967" s="42"/>
    </row>
    <row r="968">
      <c r="E968" s="42"/>
    </row>
    <row r="969">
      <c r="E969" s="42"/>
    </row>
    <row r="970">
      <c r="E970" s="42"/>
    </row>
    <row r="971">
      <c r="E971" s="42"/>
    </row>
    <row r="972">
      <c r="E972" s="42"/>
    </row>
    <row r="973">
      <c r="E973" s="42"/>
    </row>
    <row r="974">
      <c r="E974" s="42"/>
    </row>
    <row r="975">
      <c r="E975" s="42"/>
    </row>
    <row r="976">
      <c r="E976" s="42"/>
    </row>
    <row r="977">
      <c r="E977" s="42"/>
    </row>
    <row r="978">
      <c r="E978" s="42"/>
    </row>
  </sheetData>
  <hyperlinks>
    <hyperlink r:id="rId1" ref="J53"/>
    <hyperlink r:id="rId2" ref="J54"/>
    <hyperlink r:id="rId3" ref="J55"/>
    <hyperlink r:id="rId4" ref="J56"/>
    <hyperlink r:id="rId5" ref="J57"/>
    <hyperlink r:id="rId6" ref="J58"/>
    <hyperlink r:id="rId7" ref="J59"/>
    <hyperlink r:id="rId8" ref="J60"/>
    <hyperlink r:id="rId9" ref="J61"/>
    <hyperlink r:id="rId10" ref="J62"/>
    <hyperlink r:id="rId11" ref="J63"/>
    <hyperlink r:id="rId12" ref="J64"/>
    <hyperlink r:id="rId13" ref="J65"/>
  </hyperlinks>
  <drawing r:id="rId14"/>
</worksheet>
</file>